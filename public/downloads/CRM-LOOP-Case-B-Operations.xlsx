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M 운영표" sheetId="1" state="visible" r:id="rId1"/>
    <sheet name="근거 및 출처" sheetId="2" state="visible" r:id="rId2"/>
    <sheet name="협업 기준" sheetId="3" state="visible" r:id="rId3"/>
    <sheet name="고객 운영 로그" sheetId="4" state="visible" r:id="rId4"/>
    <sheet name="후속 업무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rlito"/>
      <sz val="11"/>
    </font>
    <font>
      <name val="Malgun Gothic"/>
      <b val="1"/>
      <color rgb="FFFFFFFF"/>
      <sz val="20"/>
    </font>
    <font>
      <name val="Malgun Gothic"/>
      <color rgb="FF214B2F"/>
      <sz val="10"/>
    </font>
    <font>
      <name val="Malgun Gothic"/>
      <b val="1"/>
      <color rgb="FF182019"/>
      <sz val="11"/>
    </font>
    <font>
      <name val="Malgun Gothic"/>
      <b val="1"/>
      <color rgb="FFFFFFFF"/>
      <sz val="11"/>
    </font>
    <font>
      <name val="Malgun Gothic"/>
      <color rgb="FF182019"/>
      <sz val="10"/>
    </font>
    <font>
      <name val="Malgun Gothic"/>
      <b val="1"/>
      <color rgb="FF315B3B"/>
      <sz val="10"/>
    </font>
    <font>
      <name val="Malgun Gothic"/>
      <b val="1"/>
      <color rgb="FFFFFFFF"/>
      <sz val="14"/>
    </font>
    <font>
      <name val="Malgun Gothic"/>
      <b val="1"/>
      <color rgb="FF214B2F"/>
      <sz val="11"/>
    </font>
    <font>
      <name val="Malgun Gothic"/>
      <b val="1"/>
      <color rgb="FFFFFFFF"/>
      <sz val="18"/>
    </font>
    <font>
      <name val="Malgun Gothic"/>
      <color rgb="FF7A5030"/>
      <sz val="9"/>
    </font>
    <font>
      <name val="Malgun Gothic"/>
      <b val="1"/>
      <color rgb="FF315B3B"/>
      <sz val="11"/>
    </font>
    <font>
      <name val="Malgun Gothic"/>
      <color rgb="FF182019"/>
      <sz val="9"/>
    </font>
    <font>
      <name val="Calibri"/>
      <color theme="10"/>
      <sz val="12"/>
    </font>
    <font>
      <name val="Arial"/>
      <i val="1"/>
      <color rgb="FF58615C"/>
      <sz val="8"/>
    </font>
    <font>
      <name val="Arial"/>
      <color rgb="FF1F2A24"/>
      <sz val="8"/>
    </font>
    <font>
      <name val="Arial"/>
      <b val="1"/>
      <color rgb="FFFFFFFF"/>
      <sz val="15"/>
    </font>
    <font>
      <name val="Arial"/>
      <color rgb="FF2F6340"/>
      <sz val="10"/>
    </font>
    <font>
      <name val="Arial"/>
      <i val="1"/>
      <color rgb="FF575F57"/>
      <sz val="10"/>
    </font>
    <font>
      <name val="Arial"/>
      <color rgb="FF283128"/>
      <sz val="10"/>
    </font>
    <font>
      <name val="Arial"/>
      <b val="1"/>
      <color rgb="FFFFFFFF"/>
      <sz val="10"/>
    </font>
    <font>
      <name val="Arial"/>
      <b val="1"/>
      <color rgb="FF283128"/>
      <sz val="10"/>
    </font>
  </fonts>
  <fills count="18">
    <fill>
      <patternFill/>
    </fill>
    <fill>
      <patternFill patternType="gray125"/>
    </fill>
    <fill>
      <patternFill patternType="solid">
        <fgColor rgb="FF182019"/>
      </patternFill>
    </fill>
    <fill>
      <patternFill patternType="solid">
        <fgColor rgb="FFDCE7D9"/>
      </patternFill>
    </fill>
    <fill>
      <patternFill patternType="solid">
        <fgColor rgb="FF315B3B"/>
      </patternFill>
    </fill>
    <fill>
      <patternFill patternType="solid">
        <fgColor rgb="FFFFF2CC"/>
      </patternFill>
    </fill>
    <fill>
      <patternFill patternType="solid">
        <fgColor rgb="FFF7F4EC"/>
      </patternFill>
    </fill>
    <fill>
      <patternFill patternType="solid">
        <fgColor rgb="FFFFFFFF"/>
      </patternFill>
    </fill>
    <fill>
      <patternFill patternType="solid">
        <fgColor rgb="FFF3F1EA"/>
      </patternFill>
    </fill>
    <fill>
      <patternFill patternType="solid">
        <fgColor rgb="FFF3F1EA"/>
      </patternFill>
    </fill>
    <fill>
      <patternFill patternType="solid">
        <fgColor rgb="FFFFFFFF"/>
      </patternFill>
    </fill>
    <fill>
      <patternFill patternType="solid">
        <fgColor rgb="FF121A14"/>
      </patternFill>
    </fill>
    <fill>
      <patternFill patternType="solid">
        <fgColor rgb="FFDFEADA"/>
      </patternFill>
    </fill>
    <fill>
      <patternFill patternType="solid">
        <fgColor rgb="FFF4F1E8"/>
      </patternFill>
    </fill>
    <fill>
      <patternFill patternType="solid">
        <fgColor rgb="FF2F6340"/>
      </patternFill>
    </fill>
    <fill>
      <patternFill patternType="solid">
        <fgColor rgb="FFFFF2CC"/>
      </patternFill>
    </fill>
    <fill>
      <patternFill patternType="solid">
        <fgColor rgb="FFFFF9E8"/>
      </patternFill>
    </fill>
    <fill>
      <patternFill patternType="solid">
        <fgColor rgb="FFE8ECE8"/>
      </patternFill>
    </fill>
  </fills>
  <borders count="22">
    <border/>
    <border>
      <left style="thin">
        <color rgb="FFD5D9D1"/>
      </left>
      <right style="thin">
        <color rgb="FFD5D9D1"/>
      </right>
      <top style="thin">
        <color rgb="FFD5D9D1"/>
      </top>
      <bottom style="thin">
        <color rgb="FFD5D9D1"/>
      </bottom>
    </border>
    <border/>
    <border>
      <left style="thin">
        <color rgb="FFD8D8CE"/>
      </left>
      <top style="thin">
        <color rgb="FFD8D8CE"/>
      </top>
      <bottom style="thin">
        <color rgb="FFD8D8CE"/>
      </bottom>
    </border>
    <border>
      <top style="thin">
        <color rgb="FFD8D8CE"/>
      </top>
      <bottom style="thin">
        <color rgb="FFD8D8CE"/>
      </bottom>
    </border>
    <border>
      <right style="thin">
        <color rgb="FFD8D8CE"/>
      </right>
      <top style="thin">
        <color rgb="FFD8D8CE"/>
      </top>
      <bottom style="thin">
        <color rgb="FFD8D8CE"/>
      </bottom>
    </border>
    <border>
      <right style="thin">
        <color rgb="FFD7DDD7"/>
      </right>
      <bottom style="thin">
        <color rgb="FFD7DDD7"/>
      </bottom>
    </border>
    <border>
      <left style="thin">
        <color rgb="FFD7DDD7"/>
      </left>
      <right style="thin">
        <color rgb="FFD7DDD7"/>
      </right>
      <bottom style="thin">
        <color rgb="FFD7DDD7"/>
      </bottom>
    </border>
    <border>
      <left style="thin">
        <color rgb="FFD7DDD7"/>
      </left>
      <bottom style="thin">
        <color rgb="FFD7DDD7"/>
      </bottom>
    </border>
    <border>
      <right style="thin">
        <color rgb="FFD7DDD7"/>
      </right>
      <top style="thin">
        <color rgb="FFD7DDD7"/>
      </top>
      <bottom style="thin">
        <color rgb="FFD7DDD7"/>
      </bottom>
    </border>
    <border>
      <left style="thin">
        <color rgb="FFD7DDD7"/>
      </left>
      <right style="thin">
        <color rgb="FFD7DDD7"/>
      </right>
      <top style="thin">
        <color rgb="FFD7DDD7"/>
      </top>
      <bottom style="thin">
        <color rgb="FFD7DDD7"/>
      </bottom>
    </border>
    <border>
      <left style="thin">
        <color rgb="FFD7DDD7"/>
      </left>
      <top style="thin">
        <color rgb="FFD7DDD7"/>
      </top>
      <bottom style="thin">
        <color rgb="FFD7DDD7"/>
      </bottom>
    </border>
    <border>
      <right style="thin">
        <color rgb="FFD7DDD7"/>
      </right>
      <top style="thin">
        <color rgb="FFD7DDD7"/>
      </top>
    </border>
    <border>
      <left style="thin">
        <color rgb="FFD7DDD7"/>
      </left>
      <right style="thin">
        <color rgb="FFD7DDD7"/>
      </right>
      <top style="thin">
        <color rgb="FFD7DDD7"/>
      </top>
    </border>
    <border>
      <left style="thin">
        <color rgb="FFD7DDD7"/>
      </left>
      <top style="thin">
        <color rgb="FFD7DDD7"/>
      </top>
    </border>
    <border>
      <left style="thin">
        <color rgb="FFD8D8CE"/>
      </left>
      <right style="thin">
        <color rgb="FFD8D8CE"/>
      </right>
      <top style="thin">
        <color rgb="FFD8D8CE"/>
      </top>
      <bottom style="thin">
        <color rgb="FFD8D8CE"/>
      </bottom>
    </border>
    <border>
      <top style="thin">
        <color rgb="FFD8D8CE"/>
      </top>
    </border>
    <border>
      <right style="thin">
        <color rgb="FFD8D8CE"/>
      </right>
      <top style="thin">
        <color rgb="FFD8D8CE"/>
      </top>
    </border>
    <border>
      <right style="thin">
        <color rgb="FFD7DDD7"/>
      </right>
    </border>
    <border>
      <bottom style="thin">
        <color rgb="FFD7DDD7"/>
      </bottom>
    </border>
    <border>
      <top style="thin">
        <color rgb="FFD7DDD7"/>
      </top>
    </border>
    <border>
      <top style="thin">
        <color rgb="FFD7DDD7"/>
      </top>
      <bottom style="thin">
        <color rgb="FFD7DDD7"/>
      </bottom>
    </border>
  </borders>
  <cellStyleXfs count="2">
    <xf numFmtId="0" fontId="0" fillId="0" borderId="2"/>
    <xf numFmtId="0" fontId="13" fillId="0" borderId="2"/>
  </cellStyleXfs>
  <cellXfs count="16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164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1" applyAlignment="1" pivotButton="0" quotePrefix="0" xfId="0">
      <alignment vertical="top" wrapText="1"/>
    </xf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2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3" fillId="0" borderId="2" applyAlignment="1" pivotButton="0" quotePrefix="0" xfId="1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0" fillId="7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4" fillId="0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0" fillId="8" borderId="0" pivotButton="0" quotePrefix="0" xfId="0"/>
    <xf numFmtId="0" fontId="15" fillId="8" borderId="0" applyAlignment="1" pivotButton="0" quotePrefix="0" xfId="0">
      <alignment vertical="center" wrapText="1"/>
    </xf>
    <xf numFmtId="0" fontId="15" fillId="8" borderId="0" pivotButton="0" quotePrefix="0" xfId="0"/>
    <xf numFmtId="0" fontId="15" fillId="8" borderId="3" applyAlignment="1" pivotButton="0" quotePrefix="0" xfId="0">
      <alignment vertical="center" wrapText="1"/>
    </xf>
    <xf numFmtId="0" fontId="15" fillId="8" borderId="4" pivotButton="0" quotePrefix="0" xfId="0"/>
    <xf numFmtId="0" fontId="15" fillId="8" borderId="5" pivotButton="0" quotePrefix="0" xfId="0"/>
    <xf numFmtId="0" fontId="15" fillId="8" borderId="4" applyAlignment="1" pivotButton="0" quotePrefix="0" xfId="0">
      <alignment wrapText="1"/>
    </xf>
    <xf numFmtId="0" fontId="15" fillId="8" borderId="5" applyAlignment="1" pivotButton="0" quotePrefix="0" xfId="0">
      <alignment wrapText="1"/>
    </xf>
    <xf numFmtId="0" fontId="15" fillId="8" borderId="4" applyAlignment="1" pivotButton="0" quotePrefix="0" xfId="0">
      <alignment vertical="center" wrapText="1"/>
    </xf>
    <xf numFmtId="0" fontId="15" fillId="8" borderId="5" applyAlignment="1" pivotButton="0" quotePrefix="0" xfId="0">
      <alignment vertical="center" wrapText="1"/>
    </xf>
    <xf numFmtId="0" fontId="15" fillId="8" borderId="3" pivotButton="0" quotePrefix="0" xfId="0"/>
    <xf numFmtId="0" fontId="15" fillId="8" borderId="3" applyAlignment="1" pivotButton="0" quotePrefix="0" xfId="0">
      <alignment wrapText="1"/>
    </xf>
    <xf numFmtId="0" fontId="0" fillId="9" borderId="0" pivotButton="0" quotePrefix="0" xfId="0"/>
    <xf numFmtId="0" fontId="15" fillId="9" borderId="0" pivotButton="0" quotePrefix="0" xfId="0"/>
    <xf numFmtId="0" fontId="15" fillId="9" borderId="3" pivotButton="0" quotePrefix="0" xfId="0"/>
    <xf numFmtId="0" fontId="15" fillId="9" borderId="4" pivotButton="0" quotePrefix="0" xfId="0"/>
    <xf numFmtId="0" fontId="15" fillId="9" borderId="5" pivotButton="0" quotePrefix="0" xfId="0"/>
    <xf numFmtId="0" fontId="15" fillId="9" borderId="3" applyAlignment="1" pivotButton="0" quotePrefix="0" xfId="0">
      <alignment wrapText="1"/>
    </xf>
    <xf numFmtId="0" fontId="15" fillId="9" borderId="4" applyAlignment="1" pivotButton="0" quotePrefix="0" xfId="0">
      <alignment wrapText="1"/>
    </xf>
    <xf numFmtId="0" fontId="15" fillId="9" borderId="5" applyAlignment="1" pivotButton="0" quotePrefix="0" xfId="0">
      <alignment wrapText="1"/>
    </xf>
    <xf numFmtId="0" fontId="15" fillId="9" borderId="3" applyAlignment="1" pivotButton="0" quotePrefix="0" xfId="0">
      <alignment vertical="center" wrapText="1"/>
    </xf>
    <xf numFmtId="0" fontId="15" fillId="9" borderId="4" applyAlignment="1" pivotButton="0" quotePrefix="0" xfId="0">
      <alignment vertical="center" wrapText="1"/>
    </xf>
    <xf numFmtId="0" fontId="15" fillId="9" borderId="5" applyAlignment="1" pivotButton="0" quotePrefix="0" xfId="0">
      <alignment vertical="center" wrapText="1"/>
    </xf>
    <xf numFmtId="0" fontId="0" fillId="10" borderId="0" pivotButton="0" quotePrefix="0" xfId="0"/>
    <xf numFmtId="0" fontId="15" fillId="10" borderId="0" pivotButton="0" quotePrefix="0" xfId="0"/>
    <xf numFmtId="0" fontId="15" fillId="10" borderId="3" pivotButton="0" quotePrefix="0" xfId="0"/>
    <xf numFmtId="0" fontId="15" fillId="10" borderId="4" pivotButton="0" quotePrefix="0" xfId="0"/>
    <xf numFmtId="0" fontId="15" fillId="10" borderId="5" pivotButton="0" quotePrefix="0" xfId="0"/>
    <xf numFmtId="0" fontId="15" fillId="10" borderId="3" applyAlignment="1" pivotButton="0" quotePrefix="0" xfId="0">
      <alignment wrapText="1"/>
    </xf>
    <xf numFmtId="0" fontId="15" fillId="10" borderId="4" applyAlignment="1" pivotButton="0" quotePrefix="0" xfId="0">
      <alignment wrapText="1"/>
    </xf>
    <xf numFmtId="0" fontId="15" fillId="10" borderId="5" applyAlignment="1" pivotButton="0" quotePrefix="0" xfId="0">
      <alignment wrapText="1"/>
    </xf>
    <xf numFmtId="0" fontId="15" fillId="10" borderId="3" applyAlignment="1" pivotButton="0" quotePrefix="0" xfId="0">
      <alignment vertical="center" wrapText="1"/>
    </xf>
    <xf numFmtId="0" fontId="15" fillId="10" borderId="4" applyAlignment="1" pivotButton="0" quotePrefix="0" xfId="0">
      <alignment vertical="center" wrapText="1"/>
    </xf>
    <xf numFmtId="0" fontId="15" fillId="10" borderId="5" applyAlignment="1" pivotButton="0" quotePrefix="0" xfId="0">
      <alignment vertical="center" wrapText="1"/>
    </xf>
    <xf numFmtId="0" fontId="0" fillId="11" borderId="0" pivotButton="0" quotePrefix="0" xfId="0"/>
    <xf numFmtId="0" fontId="16" fillId="11" borderId="0" pivotButton="0" quotePrefix="0" xfId="0"/>
    <xf numFmtId="0" fontId="16" fillId="11" borderId="0" applyAlignment="1" pivotButton="0" quotePrefix="0" xfId="0">
      <alignment vertical="center"/>
    </xf>
    <xf numFmtId="0" fontId="0" fillId="12" borderId="0" pivotButton="0" quotePrefix="0" xfId="0"/>
    <xf numFmtId="0" fontId="17" fillId="12" borderId="0" pivotButton="0" quotePrefix="0" xfId="0"/>
    <xf numFmtId="0" fontId="17" fillId="12" borderId="0" applyAlignment="1" pivotButton="0" quotePrefix="0" xfId="0">
      <alignment vertical="center"/>
    </xf>
    <xf numFmtId="0" fontId="0" fillId="13" borderId="0" pivotButton="0" quotePrefix="0" xfId="0"/>
    <xf numFmtId="0" fontId="18" fillId="13" borderId="0" pivotButton="0" quotePrefix="0" xfId="0"/>
    <xf numFmtId="0" fontId="18" fillId="13" borderId="0" applyAlignment="1" pivotButton="0" quotePrefix="0" xfId="0">
      <alignment vertical="center"/>
    </xf>
    <xf numFmtId="0" fontId="19" fillId="0" borderId="0" pivotButton="0" quotePrefix="0" xfId="0"/>
    <xf numFmtId="0" fontId="19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15" borderId="0" applyAlignment="1" pivotButton="0" quotePrefix="0" xfId="0">
      <alignment vertical="center" wrapText="1"/>
    </xf>
    <xf numFmtId="0" fontId="19" fillId="16" borderId="0" applyAlignment="1" pivotButton="0" quotePrefix="0" xfId="0">
      <alignment vertical="center"/>
    </xf>
    <xf numFmtId="0" fontId="19" fillId="16" borderId="0" applyAlignment="1" pivotButton="0" quotePrefix="0" xfId="0">
      <alignment vertical="center" wrapText="1"/>
    </xf>
    <xf numFmtId="0" fontId="19" fillId="17" borderId="0" applyAlignment="1" pivotButton="0" quotePrefix="0" xfId="0">
      <alignment vertical="center"/>
    </xf>
    <xf numFmtId="0" fontId="16" fillId="11" borderId="6" applyAlignment="1" pivotButton="0" quotePrefix="0" xfId="0">
      <alignment vertical="center"/>
    </xf>
    <xf numFmtId="0" fontId="16" fillId="11" borderId="7" applyAlignment="1" pivotButton="0" quotePrefix="0" xfId="0">
      <alignment vertical="center"/>
    </xf>
    <xf numFmtId="0" fontId="16" fillId="11" borderId="8" applyAlignment="1" pivotButton="0" quotePrefix="0" xfId="0">
      <alignment vertical="center"/>
    </xf>
    <xf numFmtId="0" fontId="17" fillId="12" borderId="9" applyAlignment="1" pivotButton="0" quotePrefix="0" xfId="0">
      <alignment vertical="center"/>
    </xf>
    <xf numFmtId="0" fontId="17" fillId="12" borderId="10" applyAlignment="1" pivotButton="0" quotePrefix="0" xfId="0">
      <alignment vertical="center"/>
    </xf>
    <xf numFmtId="0" fontId="17" fillId="12" borderId="11" applyAlignment="1" pivotButton="0" quotePrefix="0" xfId="0">
      <alignment vertical="center"/>
    </xf>
    <xf numFmtId="0" fontId="18" fillId="13" borderId="9" applyAlignment="1" pivotButton="0" quotePrefix="0" xfId="0">
      <alignment vertical="center"/>
    </xf>
    <xf numFmtId="0" fontId="18" fillId="13" borderId="10" applyAlignment="1" pivotButton="0" quotePrefix="0" xfId="0">
      <alignment vertical="center"/>
    </xf>
    <xf numFmtId="0" fontId="18" fillId="13" borderId="11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0" fillId="14" borderId="9" applyAlignment="1" pivotButton="0" quotePrefix="0" xfId="0">
      <alignment horizontal="center" vertical="center"/>
    </xf>
    <xf numFmtId="0" fontId="20" fillId="14" borderId="10" applyAlignment="1" pivotButton="0" quotePrefix="0" xfId="0">
      <alignment horizontal="center" vertical="center"/>
    </xf>
    <xf numFmtId="0" fontId="20" fillId="14" borderId="11" applyAlignment="1" pivotButton="0" quotePrefix="0" xfId="0">
      <alignment horizontal="center" vertical="center"/>
    </xf>
    <xf numFmtId="0" fontId="19" fillId="0" borderId="9" applyAlignment="1" pivotButton="0" quotePrefix="0" xfId="0">
      <alignment vertical="center" wrapText="1"/>
    </xf>
    <xf numFmtId="0" fontId="19" fillId="0" borderId="10" applyAlignment="1" pivotButton="0" quotePrefix="0" xfId="0">
      <alignment vertical="center" wrapText="1"/>
    </xf>
    <xf numFmtId="0" fontId="19" fillId="15" borderId="10" applyAlignment="1" pivotButton="0" quotePrefix="0" xfId="0">
      <alignment vertical="center" wrapText="1"/>
    </xf>
    <xf numFmtId="0" fontId="19" fillId="16" borderId="10" applyAlignment="1" pivotButton="0" quotePrefix="0" xfId="0">
      <alignment vertical="center"/>
    </xf>
    <xf numFmtId="0" fontId="19" fillId="16" borderId="10" applyAlignment="1" pivotButton="0" quotePrefix="0" xfId="0">
      <alignment vertical="center" wrapText="1"/>
    </xf>
    <xf numFmtId="0" fontId="19" fillId="17" borderId="11" applyAlignment="1" pivotButton="0" quotePrefix="0" xfId="0">
      <alignment vertical="center"/>
    </xf>
    <xf numFmtId="0" fontId="19" fillId="0" borderId="12" applyAlignment="1" pivotButton="0" quotePrefix="0" xfId="0">
      <alignment vertical="center" wrapText="1"/>
    </xf>
    <xf numFmtId="0" fontId="19" fillId="0" borderId="13" applyAlignment="1" pivotButton="0" quotePrefix="0" xfId="0">
      <alignment vertical="center" wrapText="1"/>
    </xf>
    <xf numFmtId="0" fontId="19" fillId="15" borderId="13" applyAlignment="1" pivotButton="0" quotePrefix="0" xfId="0">
      <alignment vertical="center" wrapText="1"/>
    </xf>
    <xf numFmtId="0" fontId="19" fillId="16" borderId="13" applyAlignment="1" pivotButton="0" quotePrefix="0" xfId="0">
      <alignment vertical="center"/>
    </xf>
    <xf numFmtId="0" fontId="19" fillId="16" borderId="13" applyAlignment="1" pivotButton="0" quotePrefix="0" xfId="0">
      <alignment vertical="center" wrapText="1"/>
    </xf>
    <xf numFmtId="0" fontId="19" fillId="17" borderId="14" applyAlignment="1" pivotButton="0" quotePrefix="0" xfId="0">
      <alignment vertical="center"/>
    </xf>
    <xf numFmtId="0" fontId="0" fillId="14" borderId="0" pivotButton="0" quotePrefix="0" xfId="0"/>
    <xf numFmtId="0" fontId="21" fillId="14" borderId="0" applyAlignment="1" pivotButton="0" quotePrefix="0" xfId="0">
      <alignment horizontal="center" vertical="center"/>
    </xf>
    <xf numFmtId="0" fontId="21" fillId="14" borderId="9" applyAlignment="1" pivotButton="0" quotePrefix="0" xfId="0">
      <alignment horizontal="center" vertical="center"/>
    </xf>
    <xf numFmtId="0" fontId="21" fillId="14" borderId="10" applyAlignment="1" pivotButton="0" quotePrefix="0" xfId="0">
      <alignment horizontal="center" vertical="center"/>
    </xf>
    <xf numFmtId="0" fontId="21" fillId="14" borderId="11" applyAlignment="1" pivotButton="0" quotePrefix="0" xfId="0">
      <alignment horizontal="center" vertical="center"/>
    </xf>
    <xf numFmtId="0" fontId="19" fillId="0" borderId="9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0" fontId="19" fillId="0" borderId="11" applyAlignment="1" pivotButton="0" quotePrefix="0" xfId="0">
      <alignment vertical="center" wrapText="1"/>
    </xf>
    <xf numFmtId="0" fontId="19" fillId="0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9" fillId="0" borderId="14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6" fillId="11" borderId="6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2" pivotButton="0" quotePrefix="0" xfId="0"/>
    <xf numFmtId="0" fontId="2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7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0" fillId="0" borderId="19" pivotButton="0" quotePrefix="0" xfId="0"/>
    <xf numFmtId="0" fontId="0" fillId="0" borderId="6" pivotButton="0" quotePrefix="0" xfId="0"/>
    <xf numFmtId="0" fontId="0" fillId="0" borderId="21" pivotButton="0" quotePrefix="0" xfId="0"/>
  </cellXfs>
  <cellStyles count="2">
    <cellStyle name="Normal" xfId="0"/>
    <cellStyle name="Hyperlink" xfId="1"/>
  </cellStyles>
  <dxfs count="12">
    <dxf>
      <font>
        <b val="1"/>
        <color rgb="FFA61B1B"/>
      </font>
      <fill>
        <patternFill>
          <bgColor rgb="FFFCE8E6"/>
        </patternFill>
      </fill>
    </dxf>
    <dxf>
      <font>
        <b val="1"/>
        <color rgb="FF7A4C00"/>
      </font>
      <fill>
        <patternFill>
          <bgColor rgb="FFFFF2CC"/>
        </patternFill>
      </fill>
    </dxf>
    <dxf>
      <font>
        <color rgb="FF2F6340"/>
      </font>
      <fill>
        <patternFill>
          <bgColor rgb="FFDFEADA"/>
        </patternFill>
      </fill>
    </dxf>
    <dxf>
      <font>
        <b val="1"/>
        <color rgb="FFA61B1B"/>
      </font>
      <fill>
        <patternFill>
          <bgColor rgb="FFFCE8E6"/>
        </patternFill>
      </fill>
    </dxf>
    <dxf>
      <font>
        <b val="1"/>
        <color rgb="FF7A4C00"/>
      </font>
      <fill>
        <patternFill>
          <bgColor rgb="FFFFF2CC"/>
        </patternFill>
      </fill>
    </dxf>
    <dxf>
      <font>
        <color rgb="FF2F6340"/>
      </font>
      <fill>
        <patternFill>
          <bgColor rgb="FFDFEADA"/>
        </patternFill>
      </fill>
    </dxf>
    <dxf>
      <font>
        <color rgb="FF355C3A"/>
      </font>
      <fill>
        <patternFill patternType="solid">
          <bgColor rgb="FFDDEBD8"/>
        </patternFill>
      </fill>
    </dxf>
    <dxf>
      <font>
        <color rgb="FFB42318"/>
      </font>
      <fill>
        <patternFill patternType="solid">
          <bgColor rgb="FFFCE2E0"/>
        </patternFill>
      </fill>
    </dxf>
    <dxf>
      <font>
        <color rgb="FF8A5A00"/>
      </font>
      <fill>
        <patternFill patternType="solid">
          <bgColor rgb="FFFFF0C2"/>
        </patternFill>
      </fill>
    </dxf>
    <dxf>
      <font>
        <color rgb="FF355C3A"/>
      </font>
      <fill>
        <patternFill patternType="solid">
          <bgColor rgb="FFDDEBD8"/>
        </patternFill>
      </fill>
    </dxf>
    <dxf>
      <font>
        <color rgb="FFB42318"/>
      </font>
      <fill>
        <patternFill patternType="solid">
          <bgColor rgb="FFFCE2E0"/>
        </patternFill>
      </fill>
    </dxf>
    <dxf>
      <font>
        <color rgb="FF8A5A00"/>
      </font>
      <fill>
        <patternFill patternType="solid">
          <bgColor rgb="FFFFF0C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ustomerOperationsTable" displayName="CustomerOperationsTable" ref="A5:O17" headerRowCount="1" totalsRowCount="0" totalsRowShown="0">
  <autoFilter ref="A5:O17"/>
  <tableColumns count="15">
    <tableColumn id="1" name="고객 ID"/>
    <tableColumn id="2" name="선호 언어"/>
    <tableColumn id="3" name="고객군"/>
    <tableColumn id="4" name="초청 이유"/>
    <tableColumn id="5" name="RSVP"/>
    <tableColumn id="6" name="참석"/>
    <tableColumn id="7" name="체험"/>
    <tableColumn id="8" name="선호 향"/>
    <tableColumn id="9" name="마케팅 동의"/>
    <tableColumn id="10" name="후속 행동"/>
    <tableColumn id="11" name="담당자"/>
    <tableColumn id="12" name="처리 기한"/>
    <tableColumn id="13" name="처리 상태"/>
    <tableColumn id="14" name="완료 근거"/>
    <tableColumn id="15" name="후속 필요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FollowupTasksTable" displayName="FollowupTasksTable" ref="A5:I13" headerRowCount="1" totalsRowCount="0" totalsRowShown="0">
  <autoFilter ref="A5:I13"/>
  <tableColumns count="9">
    <tableColumn id="1" name="업무 ID"/>
    <tableColumn id="2" name="고객 ID"/>
    <tableColumn id="3" name="발생 구간"/>
    <tableColumn id="4" name="사유"/>
    <tableColumn id="5" name="고객 선택권과 다음 조치"/>
    <tableColumn id="6" name="담당자"/>
    <tableColumn id="7" name="기한"/>
    <tableColumn id="8" name="상태"/>
    <tableColumn id="9" name="완료 근거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prtimes.jp/main/html/rd/p/000000014.000137182.html" TargetMode="External" Id="rId1" /><Relationship Type="http://schemas.openxmlformats.org/officeDocument/2006/relationships/hyperlink" Target="https://sungmini-onss.tistory.com/33" TargetMode="External" Id="rId2" /><Relationship Type="http://schemas.openxmlformats.org/officeDocument/2006/relationships/hyperlink" Target="https://www.tamburins.com/en/store/exhibition/" TargetMode="External" Id="rId3" /><Relationship Type="http://schemas.openxmlformats.org/officeDocument/2006/relationships/hyperlink" Target="https://nadragon.tistory.com/253" TargetMode="External" Id="rId4" /><Relationship Type="http://schemas.openxmlformats.org/officeDocument/2006/relationships/hyperlink" Target="https://ameblo.jp/spux8pt9/entry-12854634908.html" TargetMode="External" Id="rId5" /><Relationship Type="http://schemas.openxmlformats.org/officeDocument/2006/relationships/hyperlink" Target="https://pf.kakao.com/_DKxkQb/posts" TargetMode="External" Id="rId6" /><Relationship Type="http://schemas.openxmlformats.org/officeDocument/2006/relationships/hyperlink" Target="https://www.lemon8-app.com/%40aloeitsvera/7191714988837405186?region=sg" TargetMode="External" Id="rId7" /><Relationship Type="http://schemas.openxmlformats.org/officeDocument/2006/relationships/hyperlink" Target="https://www.edaily.co.kr/News/Read?mediaCodeNo=257&amp;newsId=01804006645445640" TargetMode="External" Id="rId8" /><Relationship Type="http://schemas.openxmlformats.org/officeDocument/2006/relationships/hyperlink" Target="https://www.ktnews.com/news/articleView.html?idxno=145794" TargetMode="External" Id="rId9" /><Relationship Type="http://schemas.openxmlformats.org/officeDocument/2006/relationships/hyperlink" Target="https://m.dhnews.co.kr/news/view/1065599335129161" TargetMode="External" Id="rId10" /><Relationship Type="http://schemas.openxmlformats.org/officeDocument/2006/relationships/hyperlink" Target="https://m.seongsudonggorilla.com/article/324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6" customWidth="1" min="1" max="1"/>
    <col width="25" customWidth="1" min="2" max="2"/>
    <col width="39" customWidth="1" min="3" max="3"/>
    <col width="42" customWidth="1" min="4" max="4"/>
    <col width="22" customWidth="1" min="5" max="5"/>
    <col width="17" customWidth="1" min="6" max="6"/>
    <col width="28" customWidth="1" min="7" max="7"/>
  </cols>
  <sheetData>
    <row r="1" ht="42" customHeight="1">
      <c r="A1" s="155" t="inlineStr">
        <is>
          <t>CRM LOOP 사례 B
고객 흐름과 후속 업무</t>
        </is>
      </c>
      <c r="B1" s="156" t="n"/>
      <c r="C1" s="156" t="n"/>
      <c r="D1" s="156" t="n"/>
      <c r="E1" s="156" t="n"/>
      <c r="F1" s="156" t="n"/>
      <c r="G1" s="156" t="n"/>
    </row>
    <row r="2" ht="24" customHeight="1">
      <c r="A2" s="157" t="inlineStr">
        <is>
          <t>공개 자료를 바탕으로 제가 만든 가상 운영안입니다. 고객 수와 전환율은 실제 성과가 아닙니다.</t>
        </is>
      </c>
      <c r="B2" s="156" t="n"/>
      <c r="C2" s="156" t="n"/>
      <c r="D2" s="156" t="n"/>
      <c r="E2" s="156" t="n"/>
      <c r="F2" s="156" t="n"/>
      <c r="G2" s="156" t="n"/>
    </row>
    <row r="3" ht="32" customHeight="1">
      <c r="A3" s="158" t="inlineStr">
        <is>
          <t>VIP 프리뷰에서 확인한 향 선호와 상담 요청을 놓치지 않고, 동의한 고객에게 필요한 후속 안내를 보내는 흐름을 정리했습니다.</t>
        </is>
      </c>
      <c r="B3" s="156" t="n"/>
      <c r="C3" s="156" t="n"/>
      <c r="D3" s="156" t="n"/>
      <c r="E3" s="156" t="n"/>
      <c r="F3" s="156" t="n"/>
      <c r="G3" s="156" t="n"/>
    </row>
    <row r="4"/>
    <row r="5" ht="26" customHeight="1">
      <c r="A5" s="45" t="inlineStr">
        <is>
          <t>KPI</t>
        </is>
      </c>
      <c r="B5" s="45" t="inlineStr">
        <is>
          <t>분자</t>
        </is>
      </c>
      <c r="C5" s="45" t="inlineStr">
        <is>
          <t>분모</t>
        </is>
      </c>
      <c r="D5" s="45" t="inlineStr">
        <is>
          <t>가상 결과</t>
        </is>
      </c>
      <c r="E5" s="45" t="inlineStr">
        <is>
          <t>비교 기준(가정)</t>
        </is>
      </c>
      <c r="F5" s="45" t="inlineStr">
        <is>
          <t>산식, 정의</t>
        </is>
      </c>
      <c r="G5" s="45" t="inlineStr">
        <is>
          <t>이 숫자로 확인할 것</t>
        </is>
      </c>
    </row>
    <row r="6" ht="38" customHeight="1">
      <c r="A6" s="22" t="inlineStr">
        <is>
          <t>초청 응답률</t>
        </is>
      </c>
      <c r="B6" s="20" t="n">
        <v>156</v>
      </c>
      <c r="C6" s="20" t="n">
        <v>240</v>
      </c>
      <c r="D6" s="46">
        <f>IFERROR(B6/C6,0)</f>
        <v/>
      </c>
      <c r="E6" s="46" t="n">
        <v>0.6</v>
      </c>
      <c r="F6" s="20" t="inlineStr">
        <is>
          <t>RSVP 응답 156 ÷ 초청 240</t>
        </is>
      </c>
      <c r="G6" s="20" t="inlineStr">
        <is>
          <t>타깃과 초청 가치의 적합성</t>
        </is>
      </c>
    </row>
    <row r="7" ht="38" customHeight="1">
      <c r="A7" s="22" t="inlineStr">
        <is>
          <t>참석률</t>
        </is>
      </c>
      <c r="B7" s="20" t="n">
        <v>116</v>
      </c>
      <c r="C7" s="20" t="n">
        <v>132</v>
      </c>
      <c r="D7" s="46">
        <f>IFERROR(B7/C7,0)</f>
        <v/>
      </c>
      <c r="E7" s="46" t="n">
        <v>0.85</v>
      </c>
      <c r="F7" s="20" t="inlineStr">
        <is>
          <t>실제 참석 116 ÷ 방문 확정 132</t>
        </is>
      </c>
      <c r="G7" s="20" t="inlineStr">
        <is>
          <t>예약, 리마인드, 접근 안내의 실행력</t>
        </is>
      </c>
    </row>
    <row r="8" ht="38" customHeight="1">
      <c r="A8" s="22" t="inlineStr">
        <is>
          <t>체험 완료율</t>
        </is>
      </c>
      <c r="B8" s="20" t="n">
        <v>104</v>
      </c>
      <c r="C8" s="20" t="n">
        <v>116</v>
      </c>
      <c r="D8" s="46">
        <f>IFERROR(B8/C8,0)</f>
        <v/>
      </c>
      <c r="E8" s="46" t="n">
        <v>0.88</v>
      </c>
      <c r="F8" s="20" t="inlineStr">
        <is>
          <t>체험 완료 104 ÷ 실제 참석 116</t>
        </is>
      </c>
      <c r="G8" s="20" t="inlineStr">
        <is>
          <t>대기, 수용량, 대체 경험의 품질</t>
        </is>
      </c>
    </row>
    <row r="9" ht="38" customHeight="1">
      <c r="A9" s="22" t="inlineStr">
        <is>
          <t>마케팅 동의율</t>
        </is>
      </c>
      <c r="B9" s="20" t="n">
        <v>82</v>
      </c>
      <c r="C9" s="20" t="n">
        <v>116</v>
      </c>
      <c r="D9" s="46">
        <f>IFERROR(B9/C9,0)</f>
        <v/>
      </c>
      <c r="E9" s="46" t="n">
        <v>0.65</v>
      </c>
      <c r="F9" s="20" t="inlineStr">
        <is>
          <t>동의 82 ÷ 실제 참석 116</t>
        </is>
      </c>
      <c r="G9" s="20" t="inlineStr">
        <is>
          <t>혜택 설명과 선택권의 신뢰</t>
        </is>
      </c>
    </row>
    <row r="10" ht="38" customHeight="1">
      <c r="A10" s="22" t="inlineStr">
        <is>
          <t>후속 반응률</t>
        </is>
      </c>
      <c r="B10" s="20" t="n">
        <v>47</v>
      </c>
      <c r="C10" s="20" t="n">
        <v>82</v>
      </c>
      <c r="D10" s="46">
        <f>IFERROR(B10/C10,0)</f>
        <v/>
      </c>
      <c r="E10" s="46" t="n">
        <v>0.45</v>
      </c>
      <c r="F10" s="20" t="inlineStr">
        <is>
          <t>반응 47 ÷ 동의 82</t>
        </is>
      </c>
      <c r="G10" s="20" t="inlineStr">
        <is>
          <t>개인화와 채널, 시점의 적합성</t>
        </is>
      </c>
    </row>
    <row r="11" ht="38" customHeight="1">
      <c r="A11" s="22" t="inlineStr">
        <is>
          <t>관계 행동률</t>
        </is>
      </c>
      <c r="B11" s="20" t="n">
        <v>28</v>
      </c>
      <c r="C11" s="20" t="n">
        <v>82</v>
      </c>
      <c r="D11" s="46">
        <f>IFERROR(B11/C11,0)</f>
        <v/>
      </c>
      <c r="E11" s="46" t="n">
        <v>0.3</v>
      </c>
      <c r="F11" s="20" t="inlineStr">
        <is>
          <t>상담, 예약, 구매 28 ÷ 동의 82</t>
        </is>
      </c>
      <c r="G11" s="20" t="inlineStr">
        <is>
          <t>행사 이후 고객 관계의 사업 연결</t>
        </is>
      </c>
    </row>
    <row r="12"/>
    <row r="13"/>
    <row r="14" ht="30" customHeight="1">
      <c r="A14" s="159" t="inlineStr">
        <is>
          <t>고객 단계별로 제가 확인할 질문</t>
        </is>
      </c>
      <c r="B14" s="156" t="n"/>
      <c r="C14" s="156" t="n"/>
      <c r="D14" s="156" t="n"/>
      <c r="E14" s="156" t="n"/>
      <c r="F14" s="156" t="n"/>
      <c r="G14" s="156" t="n"/>
    </row>
    <row r="15" ht="28" customHeight="1">
      <c r="A15" s="48" t="inlineStr">
        <is>
          <t>단계</t>
        </is>
      </c>
      <c r="B15" s="48" t="inlineStr">
        <is>
          <t>담당자가 묻는 질문</t>
        </is>
      </c>
      <c r="C15" s="48" t="inlineStr">
        <is>
          <t>남기는 데이터</t>
        </is>
      </c>
      <c r="D15" s="48" t="inlineStr">
        <is>
          <t>다음 고객 행동</t>
        </is>
      </c>
      <c r="E15" s="48" t="inlineStr">
        <is>
          <t>담당자</t>
        </is>
      </c>
      <c r="F15" s="48" t="inlineStr">
        <is>
          <t>처리 시점</t>
        </is>
      </c>
      <c r="G15" s="48" t="inlineStr">
        <is>
          <t>완료 기준</t>
        </is>
      </c>
    </row>
    <row r="16" ht="58" customHeight="1">
      <c r="A16" s="22" t="inlineStr">
        <is>
          <t>선정</t>
        </is>
      </c>
      <c r="B16" s="20" t="inlineStr">
        <is>
          <t>왜 이 고객을 초대해야 하는가?</t>
        </is>
      </c>
      <c r="C16" s="20" t="inlineStr">
        <is>
          <t>customer_id, segment_code, selection_reason, suppression_status</t>
        </is>
      </c>
      <c r="D16" s="20" t="inlineStr">
        <is>
          <t>초청 적격이면 개인화 초청, 제외 조건이면 발송 중지</t>
        </is>
      </c>
      <c r="E16" s="20" t="inlineStr">
        <is>
          <t>CRM Manager</t>
        </is>
      </c>
      <c r="F16" s="20" t="inlineStr">
        <is>
          <t>T-6주</t>
        </is>
      </c>
      <c r="G16" s="20" t="inlineStr">
        <is>
          <t>행동 상태와 처리 시각 기록</t>
        </is>
      </c>
    </row>
    <row r="17" ht="58" customHeight="1">
      <c r="A17" s="22" t="inlineStr">
        <is>
          <t>RSVP</t>
        </is>
      </c>
      <c r="B17" s="20" t="inlineStr">
        <is>
          <t>방문 가능한 시간과 필요한 지원은 무엇인가?</t>
        </is>
      </c>
      <c r="C17" s="20" t="inlineStr">
        <is>
          <t>rsvp_status, slot_id, party_size, language, accessibility_request</t>
        </is>
      </c>
      <c r="D17" s="20" t="inlineStr">
        <is>
          <t>확정, 대기, 거절로 분기하고 시간 및 접근 안내</t>
        </is>
      </c>
      <c r="E17" s="20" t="inlineStr">
        <is>
          <t>Guest Manager</t>
        </is>
      </c>
      <c r="F17" s="20" t="inlineStr">
        <is>
          <t>응답 즉시</t>
        </is>
      </c>
      <c r="G17" s="20" t="inlineStr">
        <is>
          <t>행동 상태와 처리 시각 기록</t>
        </is>
      </c>
    </row>
    <row r="18" ht="58" customHeight="1">
      <c r="A18" s="22" t="inlineStr">
        <is>
          <t>체크인</t>
        </is>
      </c>
      <c r="B18" s="20" t="inlineStr">
        <is>
          <t>실제로 도착했고 얼마나 기다렸는가?</t>
        </is>
      </c>
      <c r="C18" s="20" t="inlineStr">
        <is>
          <t>checkin_at, queue_enter_at, experience_start_at, no_show_reason</t>
        </is>
      </c>
      <c r="D18" s="20" t="inlineStr">
        <is>
          <t>혼잡 시 도착 분산, 장기 대기 고객은 담당자 호출</t>
        </is>
      </c>
      <c r="E18" s="20" t="inlineStr">
        <is>
          <t>Front Desk</t>
        </is>
      </c>
      <c r="F18" s="20" t="inlineStr">
        <is>
          <t>현장 5분</t>
        </is>
      </c>
      <c r="G18" s="20" t="inlineStr">
        <is>
          <t>행동 상태와 처리 시각 기록</t>
        </is>
      </c>
    </row>
    <row r="19" ht="58" customHeight="1">
      <c r="A19" s="22" t="inlineStr">
        <is>
          <t>체험</t>
        </is>
      </c>
      <c r="B19" s="20" t="inlineStr">
        <is>
          <t>어떤 향을 선호했고 어디에서 경험이 끊겼는가?</t>
        </is>
      </c>
      <c r="C19" s="20" t="inlineStr">
        <is>
          <t>scent_preference, diy_status, issue_reason, consult_request</t>
        </is>
      </c>
      <c r="D19" s="20" t="inlineStr">
        <is>
          <t>선호 향별 안내, 마감 고객은 샘플 또는 재예약 선택</t>
        </is>
      </c>
      <c r="E19" s="20" t="inlineStr">
        <is>
          <t>Experience Lead</t>
        </is>
      </c>
      <c r="F19" s="20" t="inlineStr">
        <is>
          <t>퇴장 전</t>
        </is>
      </c>
      <c r="G19" s="20" t="inlineStr">
        <is>
          <t>행동 상태와 처리 시각 기록</t>
        </is>
      </c>
    </row>
    <row r="20" ht="58" customHeight="1">
      <c r="A20" s="22" t="inlineStr">
        <is>
          <t>동의</t>
        </is>
      </c>
      <c r="B20" s="20" t="inlineStr">
        <is>
          <t>어떤 목적과 채널로 연락받기를 원하는가?</t>
        </is>
      </c>
      <c r="C20" s="20" t="inlineStr">
        <is>
          <t>consent_status, consent_purpose, channel, consent_at, policy_version</t>
        </is>
      </c>
      <c r="D20" s="20" t="inlineStr">
        <is>
          <t>동의 고객만 CRM 등록, 거절, 미확인은 후속 발송 제외</t>
        </is>
      </c>
      <c r="E20" s="20" t="inlineStr">
        <is>
          <t>CRM &amp; Privacy</t>
        </is>
      </c>
      <c r="F20" s="20" t="inlineStr">
        <is>
          <t>퇴장 전</t>
        </is>
      </c>
      <c r="G20" s="20" t="inlineStr">
        <is>
          <t>행동 상태와 처리 시각 기록</t>
        </is>
      </c>
    </row>
    <row r="21" ht="58" customHeight="1">
      <c r="A21" s="22" t="inlineStr">
        <is>
          <t>후속</t>
        </is>
      </c>
      <c r="B21" s="20" t="inlineStr">
        <is>
          <t>다음 결정을 위해 어떤 정보가 필요한가?</t>
        </is>
      </c>
      <c r="C21" s="20" t="inlineStr">
        <is>
          <t>message_variant, sent_at, click_at, reply_type, handoff_status</t>
        </is>
      </c>
      <c r="D21" s="20" t="inlineStr">
        <is>
          <t>사용 팁, 상담, 예약, 재입고 중 하나로 분기하고 담당자 인계</t>
        </is>
      </c>
      <c r="E21" s="20" t="inlineStr">
        <is>
          <t>Lifecycle CRM</t>
        </is>
      </c>
      <c r="F21" s="20" t="inlineStr">
        <is>
          <t>D+1~7일</t>
        </is>
      </c>
      <c r="G21" s="20" t="inlineStr">
        <is>
          <t>행동 상태와 처리 시각 기록</t>
        </is>
      </c>
    </row>
    <row r="22" ht="58" customHeight="1">
      <c r="A22" s="22" t="inlineStr">
        <is>
          <t>관계</t>
        </is>
      </c>
      <c r="B22" s="20" t="inlineStr">
        <is>
          <t>30일 안에 어떤 관계 행동이 일어났는가?</t>
        </is>
      </c>
      <c r="C22" s="20" t="inlineStr">
        <is>
          <t>outcome_type, outcome_at, order_value, revisit_at, opt_out_at</t>
        </is>
      </c>
      <c r="D22" s="20" t="inlineStr">
        <is>
          <t>구매, 예약, 상담은 유지 프로그램, 무반응은 빈도 축소</t>
        </is>
      </c>
      <c r="E22" s="20" t="inlineStr">
        <is>
          <t>Client Care</t>
        </is>
      </c>
      <c r="F22" s="20" t="inlineStr">
        <is>
          <t>D+30</t>
        </is>
      </c>
      <c r="G22" s="20" t="inlineStr">
        <is>
          <t>행동 상태와 처리 시각 기록</t>
        </is>
      </c>
    </row>
    <row r="23"/>
    <row r="24"/>
    <row r="25" ht="30" customHeight="1">
      <c r="A25" s="159" t="inlineStr">
        <is>
          <t>단계 사이에서 놓친 고객과 해야 할 일</t>
        </is>
      </c>
      <c r="B25" s="156" t="n"/>
      <c r="C25" s="156" t="n"/>
      <c r="D25" s="156" t="n"/>
      <c r="E25" s="156" t="n"/>
      <c r="F25" s="156" t="n"/>
      <c r="G25" s="156" t="n"/>
    </row>
    <row r="26" ht="28" customHeight="1">
      <c r="A26" s="48" t="inlineStr">
        <is>
          <t>구간</t>
        </is>
      </c>
      <c r="B26" s="48" t="inlineStr">
        <is>
          <t>가상 누락</t>
        </is>
      </c>
      <c r="C26" s="48" t="inlineStr">
        <is>
          <t>케어와 다음 행동</t>
        </is>
      </c>
      <c r="D26" s="48" t="inlineStr">
        <is>
          <t>담당자</t>
        </is>
      </c>
      <c r="E26" s="48" t="inlineStr">
        <is>
          <t>처리 상태</t>
        </is>
      </c>
    </row>
    <row r="27" ht="46" customHeight="1">
      <c r="A27" s="20" t="inlineStr">
        <is>
          <t>초청과 RSVP 사이</t>
        </is>
      </c>
      <c r="B27" s="20" t="n">
        <v>84</v>
      </c>
      <c r="C27" s="20" t="inlineStr">
        <is>
          <t>48시간 뒤 1회 리마인드. 이후 미응답 종료</t>
        </is>
      </c>
      <c r="D27" s="20" t="inlineStr">
        <is>
          <t>CRM Manager</t>
        </is>
      </c>
      <c r="E27" s="27" t="inlineStr">
        <is>
          <t>미처리</t>
        </is>
      </c>
    </row>
    <row r="28" ht="46" customHeight="1">
      <c r="A28" s="20" t="inlineStr">
        <is>
          <t>응답과 확정 사이</t>
        </is>
      </c>
      <c r="B28" s="20" t="n">
        <v>24</v>
      </c>
      <c r="C28" s="20" t="inlineStr">
        <is>
          <t>거절과 시간 미정 구분, 대기 명단과 대체 시간 안내</t>
        </is>
      </c>
      <c r="D28" s="20" t="inlineStr">
        <is>
          <t>Guest Manager</t>
        </is>
      </c>
      <c r="E28" s="27" t="inlineStr">
        <is>
          <t>미처리</t>
        </is>
      </c>
    </row>
    <row r="29" ht="46" customHeight="1">
      <c r="A29" s="20" t="inlineStr">
        <is>
          <t>확정과 참석 사이</t>
        </is>
      </c>
      <c r="B29" s="20" t="n">
        <v>16</v>
      </c>
      <c r="C29" s="20" t="inlineStr">
        <is>
          <t>노쇼를 실패로 단정하지 않고 운영 연락 범위에서 사유 선택 수집</t>
        </is>
      </c>
      <c r="D29" s="20" t="inlineStr">
        <is>
          <t>Guest Manager</t>
        </is>
      </c>
      <c r="E29" s="27" t="inlineStr">
        <is>
          <t>미처리</t>
        </is>
      </c>
    </row>
    <row r="30" ht="46" customHeight="1">
      <c r="A30" s="20" t="inlineStr">
        <is>
          <t>참석과 체험 완료 사이</t>
        </is>
      </c>
      <c r="B30" s="20" t="n">
        <v>12</v>
      </c>
      <c r="C30" s="20" t="inlineStr">
        <is>
          <t>향 만들기 체험(DIY) 마감, 대기, 시간 부족 사유를 기록하고 대체 샘플 또는 재예약 제공</t>
        </is>
      </c>
      <c r="D30" s="20" t="inlineStr">
        <is>
          <t>Experience Lead</t>
        </is>
      </c>
      <c r="E30" s="27" t="inlineStr">
        <is>
          <t>미처리</t>
        </is>
      </c>
    </row>
    <row r="31" ht="46" customHeight="1">
      <c r="A31" s="20" t="inlineStr">
        <is>
          <t>참석과 동의 사이</t>
        </is>
      </c>
      <c r="B31" s="20" t="n">
        <v>34</v>
      </c>
      <c r="C31" s="20" t="inlineStr">
        <is>
          <t>거절, 미확인을 분리하고 마케팅 후속에서 제외</t>
        </is>
      </c>
      <c r="D31" s="20" t="inlineStr">
        <is>
          <t>CRM &amp; Privacy</t>
        </is>
      </c>
      <c r="E31" s="27" t="inlineStr">
        <is>
          <t>미처리</t>
        </is>
      </c>
    </row>
    <row r="32" ht="46" customHeight="1">
      <c r="A32" s="20" t="inlineStr">
        <is>
          <t>동의와 후속 반응 사이</t>
        </is>
      </c>
      <c r="B32" s="20" t="n">
        <v>35</v>
      </c>
      <c r="C32" s="20" t="inlineStr">
        <is>
          <t>선호 채널로 최대 2회, 반응 없으면 휴면 처리</t>
        </is>
      </c>
      <c r="D32" s="20" t="inlineStr">
        <is>
          <t>Lifecycle CRM</t>
        </is>
      </c>
      <c r="E32" s="27" t="inlineStr">
        <is>
          <t>미처리</t>
        </is>
      </c>
    </row>
    <row r="33" ht="46" customHeight="1">
      <c r="A33" s="20" t="inlineStr">
        <is>
          <t>후속 반응과 관계 행동 사이</t>
        </is>
      </c>
      <c r="B33" s="20" t="n">
        <v>19</v>
      </c>
      <c r="C33" s="20" t="inlineStr">
        <is>
          <t>구매 압박 없이 정보 탐색, 상담 보류, 재고 요청으로 분류</t>
        </is>
      </c>
      <c r="D33" s="20" t="inlineStr">
        <is>
          <t>Client Care</t>
        </is>
      </c>
      <c r="E33" s="27" t="inlineStr">
        <is>
          <t>미처리</t>
        </is>
      </c>
    </row>
  </sheetData>
  <mergeCells count="5">
    <mergeCell ref="A14:G14"/>
    <mergeCell ref="A1:G1"/>
    <mergeCell ref="A3:G3"/>
    <mergeCell ref="A2:G2"/>
    <mergeCell ref="A25:G25"/>
  </mergeCells>
  <dataValidations count="1">
    <dataValidation sqref="E27:E33" showDropDown="0" showInputMessage="0" showErrorMessage="0" allowBlank="0" type="list">
      <formula1>"미처리,처리 중,완료,후속 제외"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26" customWidth="1" min="4" max="4"/>
    <col width="46" customWidth="1" min="5" max="5"/>
    <col width="55" customWidth="1" min="6" max="6"/>
    <col width="55" customWidth="1" min="7" max="7"/>
    <col width="30" customWidth="1" min="8" max="8"/>
  </cols>
  <sheetData>
    <row r="1" ht="42" customHeight="1">
      <c r="A1" s="160" t="inlineStr">
        <is>
          <t>브랜드 공개 자료를 어떻게 사용했는가</t>
        </is>
      </c>
      <c r="B1" s="156" t="n"/>
      <c r="C1" s="156" t="n"/>
      <c r="D1" s="156" t="n"/>
      <c r="E1" s="156" t="n"/>
      <c r="F1" s="156" t="n"/>
      <c r="G1" s="156" t="n"/>
      <c r="H1" s="156" t="n"/>
    </row>
    <row r="2" ht="32" customHeight="1">
      <c r="A2" s="161" t="inlineStr">
        <is>
          <t>공식 자료는 행사 사실 확인에, 개인 후기는 한 방문 시점의 경험 확인에 사용했습니다.</t>
        </is>
      </c>
      <c r="B2" s="156" t="n"/>
      <c r="C2" s="156" t="n"/>
      <c r="D2" s="156" t="n"/>
      <c r="E2" s="156" t="n"/>
      <c r="F2" s="156" t="n"/>
      <c r="G2" s="156" t="n"/>
      <c r="H2" s="156" t="n"/>
    </row>
    <row r="3" ht="30" customHeight="1">
      <c r="A3" s="162" t="inlineStr">
        <is>
          <t>2026-10-07에 접근 가능한 자료 중 대표 기획안에 직접 필요한 자료를 선별했습니다. 모든 관련 글을 수집한 조사는 아닙니다.</t>
        </is>
      </c>
      <c r="B3" s="156" t="n"/>
      <c r="C3" s="156" t="n"/>
      <c r="D3" s="156" t="n"/>
      <c r="E3" s="156" t="n"/>
      <c r="F3" s="156" t="n"/>
      <c r="G3" s="156" t="n"/>
      <c r="H3" s="156" t="n"/>
    </row>
    <row r="4" ht="28" customHeight="1">
      <c r="A4" s="45" t="inlineStr">
        <is>
          <t>브랜드</t>
        </is>
      </c>
      <c r="B4" s="45" t="inlineStr">
        <is>
          <t>행사</t>
        </is>
      </c>
      <c r="C4" s="45" t="inlineStr">
        <is>
          <t>출처 유형</t>
        </is>
      </c>
      <c r="D4" s="45" t="inlineStr">
        <is>
          <t>출처명</t>
        </is>
      </c>
      <c r="E4" s="45" t="inlineStr">
        <is>
          <t>URL</t>
        </is>
      </c>
      <c r="F4" s="45" t="inlineStr">
        <is>
          <t>관찰/표본 한계</t>
        </is>
      </c>
      <c r="G4" s="45" t="inlineStr">
        <is>
          <t>CRM 적용</t>
        </is>
      </c>
      <c r="H4" s="45" t="inlineStr">
        <is>
          <t>검증 지표</t>
        </is>
      </c>
    </row>
    <row r="5" ht="76" customHeight="1">
      <c r="A5" s="20" t="inlineStr">
        <is>
          <t>젠틀몬스터</t>
        </is>
      </c>
      <c r="B5" s="20" t="inlineStr">
        <is>
          <t>JENTLE SALON (2024)</t>
        </is>
      </c>
      <c r="C5" s="22" t="inlineStr">
        <is>
          <t>공식/보도 자료</t>
        </is>
      </c>
      <c r="D5" s="20" t="inlineStr">
        <is>
          <t>브랜드 공식 JENTLE SALON 팝업 기록</t>
        </is>
      </c>
      <c r="E5" s="50" t="inlineStr">
        <is>
          <t>https://www.gentlemonster.com/legacy/story/ko/jentle-salon-popup.html</t>
        </is>
      </c>
      <c r="F5" s="20" t="inlineStr">
        <is>
          <t>공식 발표에서 JENTLE SALON 행사와 협업 컬렉션 공개 사실을 확인했습니다. 대기와 구매 반응은 이 자료로 판단하지 않았습니다.</t>
        </is>
      </c>
      <c r="G5" s="20" t="inlineStr">
        <is>
          <t>CRM 초청군별로 공개 콘텐츠와 VIP 선공개 콘텐츠를 나누고, 피팅 제품, 상담 요청을 후속 메시지에 반영</t>
        </is>
      </c>
      <c r="H5" s="20" t="inlineStr">
        <is>
          <t>참석률, 피팅 참여율, 상담 요청률</t>
        </is>
      </c>
    </row>
    <row r="6" ht="76" customHeight="1">
      <c r="A6" s="20" t="inlineStr">
        <is>
          <t>젠틀몬스터</t>
        </is>
      </c>
      <c r="B6" s="20" t="inlineStr">
        <is>
          <t>JENTLE SALON (2024)</t>
        </is>
      </c>
      <c r="C6" s="22" t="inlineStr">
        <is>
          <t>공개 고객 목소리</t>
        </is>
      </c>
      <c r="D6" s="20" t="inlineStr">
        <is>
          <t>티스토리 개인 방문 후기</t>
        </is>
      </c>
      <c r="E6" s="50" t="inlineStr">
        <is>
          <t>https://sungmini-onss.tistory.com/33</t>
        </is>
      </c>
      <c r="F6" s="20" t="inlineStr">
        <is>
          <t>후기 작성자는 일요일 오후 약 10분 대기했고, 착용 뒤 구매에 관심이 생겼다고 적었습니다. 방문 전 SNS 노출로 신선함이 낮았다는 의견도 같은 글에 있습니다.</t>
        </is>
      </c>
      <c r="G6" s="20" t="inlineStr">
        <is>
          <t>CRM 초청군별로 공개 콘텐츠와 VIP 선공개 콘텐츠를 나누고, 피팅 제품, 상담 요청을 후속 메시지에 반영</t>
        </is>
      </c>
      <c r="H6" s="20" t="inlineStr">
        <is>
          <t>참석률, 피팅 참여율, 상담 요청률</t>
        </is>
      </c>
    </row>
    <row r="7" ht="76" customHeight="1">
      <c r="A7" s="20" t="inlineStr">
        <is>
          <t>탬버린즈</t>
        </is>
      </c>
      <c r="B7" s="20" t="inlineStr">
        <is>
          <t>카디퓨저 성수 팝업 (2024)</t>
        </is>
      </c>
      <c r="C7" s="22" t="inlineStr">
        <is>
          <t>공식/보도 자료</t>
        </is>
      </c>
      <c r="D7" s="20" t="inlineStr">
        <is>
          <t>브랜드 공식 카디퓨저 팝업 소개</t>
        </is>
      </c>
      <c r="E7" s="50" t="inlineStr">
        <is>
          <t>https://www.tamburins.com/kr/exhibition/car-diffuser/</t>
        </is>
      </c>
      <c r="F7" s="20" t="inlineStr">
        <is>
          <t>브랜드 전시 페이지에서 카디퓨저 전시 사실을 확인했습니다. DIY 마감, 대기, 혜택 소진은 개인 후기에서 따로 확인했습니다.</t>
        </is>
      </c>
      <c r="G7" s="20" t="inlineStr">
        <is>
          <t>예약, 비예약, 동반 여부를 세분화하고 DIY 마감, 혜택 소진 시 대체 경험과 후속 안내를 준비</t>
        </is>
      </c>
      <c r="H7" s="20" t="inlineStr">
        <is>
          <t>혜택 수령률, 대체안 수락률, 후속 반응, 재방문</t>
        </is>
      </c>
    </row>
    <row r="8" ht="76" customHeight="1">
      <c r="A8" s="20" t="inlineStr">
        <is>
          <t>탬버린즈</t>
        </is>
      </c>
      <c r="B8" s="20" t="inlineStr">
        <is>
          <t>카디퓨저 성수 팝업 (2024)</t>
        </is>
      </c>
      <c r="C8" s="22" t="inlineStr">
        <is>
          <t>공개 고객 목소리</t>
        </is>
      </c>
      <c r="D8" s="20" t="inlineStr">
        <is>
          <t>티스토리 개인 방문 후기</t>
        </is>
      </c>
      <c r="E8" s="50" t="inlineStr">
        <is>
          <t>https://nadragon.tistory.com/253</t>
        </is>
      </c>
      <c r="F8" s="20" t="inlineStr">
        <is>
          <t>후기 작성자는 예약 시간보다 일찍 도착해 입장했지만 DIY가 마감돼 참여하지 못했다고 적었습니다.</t>
        </is>
      </c>
      <c r="G8" s="20" t="inlineStr">
        <is>
          <t>예약, 비예약, 동반 여부를 세분화하고 DIY 마감, 혜택 소진 시 대체 경험과 후속 안내를 준비</t>
        </is>
      </c>
      <c r="H8" s="20" t="inlineStr">
        <is>
          <t>혜택 수령률, 대체안 수락률, 후속 반응, 재방문</t>
        </is>
      </c>
    </row>
    <row r="9" ht="76" customHeight="1">
      <c r="A9" s="20" t="inlineStr">
        <is>
          <t>탬버린즈</t>
        </is>
      </c>
      <c r="B9" s="20" t="inlineStr">
        <is>
          <t>카디퓨저 성수 팝업 (2024)</t>
        </is>
      </c>
      <c r="C9" s="22" t="inlineStr">
        <is>
          <t>공개 고객 목소리</t>
        </is>
      </c>
      <c r="D9" s="20" t="inlineStr">
        <is>
          <t>Ameblo 개인 방문 후기</t>
        </is>
      </c>
      <c r="E9" s="50" t="inlineStr">
        <is>
          <t>https://ameblo.jp/spux8pt9/entry-12854634908.html</t>
        </is>
      </c>
      <c r="F9" s="20" t="inlineStr">
        <is>
          <t>후기 작성자는 예약 혜택 소진 뒤 현장 방문해 약 1시간 기다렸고, 직원의 음료 제공은 긍정적으로 적었습니다.</t>
        </is>
      </c>
      <c r="G9" s="20" t="inlineStr">
        <is>
          <t>예약, 비예약, 동반 여부를 세분화하고 DIY 마감, 혜택 소진 시 대체 경험과 후속 안내를 준비</t>
        </is>
      </c>
      <c r="H9" s="20" t="inlineStr">
        <is>
          <t>혜택 수령률, 대체안 수락률, 후속 반응, 재방문</t>
        </is>
      </c>
    </row>
    <row r="10" ht="76" customHeight="1">
      <c r="A10" s="20" t="inlineStr">
        <is>
          <t>누데이크</t>
        </is>
      </c>
      <c r="B10" s="20" t="inlineStr">
        <is>
          <t>OMG! NU+JEANS (2022–2023)</t>
        </is>
      </c>
      <c r="C10" s="22" t="inlineStr">
        <is>
          <t>공식/보도 자료</t>
        </is>
      </c>
      <c r="D10" s="20" t="inlineStr">
        <is>
          <t>브랜드 카카오톡 채널 공지</t>
        </is>
      </c>
      <c r="E10" s="50" t="inlineStr">
        <is>
          <t>https://pf.kakao.com/_DKxkQb/posts</t>
        </is>
      </c>
      <c r="F10" s="20" t="inlineStr">
        <is>
          <t>브랜드 카카오톡 채널에서 행사 공지를 확인했습니다. 품절과 포토존 대기는 이 자료로 판단하지 않았습니다.</t>
        </is>
      </c>
      <c r="G10" s="20" t="inlineStr">
        <is>
          <t>채널 동의와 혜택을 분리 설명하고, 품절 고객을 재입고, 예약, 대체 메뉴 후속군으로 나눔</t>
        </is>
      </c>
      <c r="H10" s="20" t="inlineStr">
        <is>
          <t>동의율, 품절 대체 수락, 7일 후속 반응, 예약</t>
        </is>
      </c>
    </row>
    <row r="11" ht="76" customHeight="1">
      <c r="A11" s="20" t="inlineStr">
        <is>
          <t>누데이크</t>
        </is>
      </c>
      <c r="B11" s="20" t="inlineStr">
        <is>
          <t>OMG! NU+JEANS (2022–2023)</t>
        </is>
      </c>
      <c r="C11" s="22" t="inlineStr">
        <is>
          <t>공개 고객 목소리</t>
        </is>
      </c>
      <c r="D11" s="20" t="inlineStr">
        <is>
          <t>Lemon8 개인 방문 후기</t>
        </is>
      </c>
      <c r="E11" s="50" t="inlineStr">
        <is>
          <t>https://www.lemon8-app.com/%40aloeitsvera/7191714988837405186?region=sg</t>
        </is>
      </c>
      <c r="F11" s="20" t="inlineStr">
        <is>
          <t>후기 작성자는 오후 방문 때 케이크 품절과 한 포토존의 긴 대기를 경험했다고 적었습니다.</t>
        </is>
      </c>
      <c r="G11" s="20" t="inlineStr">
        <is>
          <t>채널 동의와 혜택을 분리 설명하고, 품절 고객을 재입고, 예약, 대체 메뉴 후속군으로 나눔</t>
        </is>
      </c>
      <c r="H11" s="20" t="inlineStr">
        <is>
          <t>동의율, 품절 대체 수락, 7일 후속 반응, 예약</t>
        </is>
      </c>
    </row>
    <row r="12" ht="76" customHeight="1">
      <c r="A12" s="20" t="inlineStr">
        <is>
          <t>어티슈</t>
        </is>
      </c>
      <c r="B12" s="20" t="inlineStr">
        <is>
          <t>DESERT COWBOY (2026)</t>
        </is>
      </c>
      <c r="C12" s="22" t="inlineStr">
        <is>
          <t>공식/보도 자료</t>
        </is>
      </c>
      <c r="D12" s="20" t="inlineStr">
        <is>
          <t>이데일리 행사 소개</t>
        </is>
      </c>
      <c r="E12" s="50" t="inlineStr">
        <is>
          <t>https://www.edaily.co.kr/News/Read?mediaCodeNo=257&amp;newsId=01804006645445640</t>
        </is>
      </c>
      <c r="F12" s="20" t="inlineStr">
        <is>
          <t>행사 소개 기사에서 공간 콘셉트와 공개 일정을 확인했습니다. 방문자의 대기와 피팅 경험은 확인하지 못했습니다.</t>
        </is>
      </c>
      <c r="G12" s="20" t="inlineStr">
        <is>
          <t>방문 관찰 시 피팅 시작, 완료, 사이즈 문의, 재고 요청을 익명 집계하고 인터뷰 동의를 별도 확보</t>
        </is>
      </c>
      <c r="H12" s="20" t="inlineStr">
        <is>
          <t>피팅 완료율, 문의 유형, 재고 요청, 인터뷰 표본 수</t>
        </is>
      </c>
    </row>
    <row r="13" ht="76" customHeight="1">
      <c r="A13" s="20" t="inlineStr">
        <is>
          <t>어티슈</t>
        </is>
      </c>
      <c r="B13" s="20" t="inlineStr">
        <is>
          <t>DESERT COWBOY (2026)</t>
        </is>
      </c>
      <c r="C13" s="22" t="inlineStr">
        <is>
          <t>공식/보도 자료</t>
        </is>
      </c>
      <c r="D13" s="20" t="inlineStr">
        <is>
          <t>한국섬유신문 공간 소개</t>
        </is>
      </c>
      <c r="E13" s="50" t="inlineStr">
        <is>
          <t>https://www.ktnews.com/news/articleView.html?idxno=145794</t>
        </is>
      </c>
      <c r="F13" s="20" t="inlineStr">
        <is>
          <t>공간 소개 기사에서 매장 구성과 제품 공개 내용을 확인했습니다. 방문자의 구매 경험은 확인하지 못했습니다.</t>
        </is>
      </c>
      <c r="G13" s="20" t="inlineStr">
        <is>
          <t>방문 관찰 시 피팅 시작, 완료, 사이즈 문의, 재고 요청을 익명 집계하고 인터뷰 동의를 별도 확보</t>
        </is>
      </c>
      <c r="H13" s="20" t="inlineStr">
        <is>
          <t>피팅 완료율, 문의 유형, 재고 요청, 인터뷰 표본 수</t>
        </is>
      </c>
    </row>
    <row r="14" ht="76" customHeight="1">
      <c r="A14" s="20" t="inlineStr">
        <is>
          <t>누플랏</t>
        </is>
      </c>
      <c r="B14" s="20" t="inlineStr">
        <is>
          <t>하우스 노웨어 서울 첫 매장 (2025)</t>
        </is>
      </c>
      <c r="C14" s="22" t="inlineStr">
        <is>
          <t>공식/보도 자료</t>
        </is>
      </c>
      <c r="D14" s="20" t="inlineStr">
        <is>
          <t>매장 오픈 보도</t>
        </is>
      </c>
      <c r="E14" s="50" t="inlineStr">
        <is>
          <t>https://m.dhnews.co.kr/news/view/1065599335129161</t>
        </is>
      </c>
      <c r="F14" s="20" t="inlineStr">
        <is>
          <t>매장 오픈 보도에서 하우스 노웨어 서울의 개장과 브랜드 구성을 확인했습니다. 방문 시간 추천은 이 자료에서 가져오지 않았습니다.</t>
        </is>
      </c>
      <c r="G14" s="20" t="inlineStr">
        <is>
          <t>누플랏 관심 제품과 누데이크 체험을 연결하되 브랜드별 동의, 성과를 따로 측정</t>
        </is>
      </c>
      <c r="H14" s="20" t="inlineStr">
        <is>
          <t>층간 이동 선택, 제품 상담, 후속 동의, 재방문</t>
        </is>
      </c>
    </row>
    <row r="15" ht="76" customHeight="1">
      <c r="A15" s="20" t="inlineStr">
        <is>
          <t>누플랏</t>
        </is>
      </c>
      <c r="B15" s="20" t="inlineStr">
        <is>
          <t>하우스 노웨어 서울 첫 매장 (2025)</t>
        </is>
      </c>
      <c r="C15" s="22" t="inlineStr">
        <is>
          <t>공개 방문 자료</t>
        </is>
      </c>
      <c r="D15" s="20" t="inlineStr">
        <is>
          <t>성수동고릴라 에디터 방문기</t>
        </is>
      </c>
      <c r="E15" s="50" t="inlineStr">
        <is>
          <t>https://m.seongsudonggorilla.com/article/324</t>
        </is>
      </c>
      <c r="F15" s="20" t="inlineStr">
        <is>
          <t>에디터 방문기에서 누플랏 제품 관람과 누데이크 티하우스에서 식기를 사용하는 동선을 확인했습니다. 팝업이 아닌 매장 방문 자료입니다.</t>
        </is>
      </c>
      <c r="G15" s="20" t="inlineStr">
        <is>
          <t>누플랏 관심 제품과 누데이크 체험을 연결하되 브랜드별 동의, 성과를 따로 측정</t>
        </is>
      </c>
      <c r="H15" s="20" t="inlineStr">
        <is>
          <t>층간 이동 선택, 제품 상담, 후속 동의, 재방문</t>
        </is>
      </c>
    </row>
    <row r="16" ht="62" customHeight="1">
      <c r="A16" s="91" t="inlineStr">
        <is>
          <t>NUDAKE</t>
        </is>
      </c>
      <c r="B16" s="92" t="inlineStr">
        <is>
          <t>프로젝트, 매장, 협업</t>
        </is>
      </c>
      <c r="C16" s="92" t="inlineStr">
        <is>
          <t>공식 자료</t>
        </is>
      </c>
      <c r="D16" s="92" t="inlineStr">
        <is>
          <t>누데이크 공식 사이트</t>
        </is>
      </c>
      <c r="E16" s="92" t="inlineStr">
        <is>
          <t>https://nudake.com/en/</t>
        </is>
      </c>
      <c r="F16" s="92" t="inlineStr">
        <is>
          <t>프로젝트와 매장 접점 확인. 품절 경험은 별도 후기에서만 확인</t>
        </is>
      </c>
      <c r="G16" s="92" t="inlineStr">
        <is>
          <t>품절 고객을 재입고, 예약, 대체 메뉴 요청으로 분기</t>
        </is>
      </c>
      <c r="H16" s="93" t="inlineStr">
        <is>
          <t>요청 유형, 후속 완료율</t>
        </is>
      </c>
    </row>
    <row r="17" ht="62" customHeight="1">
      <c r="A17" s="80" t="inlineStr">
        <is>
          <t>ATiiSSU</t>
        </is>
      </c>
      <c r="B17" s="81" t="inlineStr">
        <is>
          <t>컬렉션, 스토어, 뉴스레터</t>
        </is>
      </c>
      <c r="C17" s="81" t="inlineStr">
        <is>
          <t>공식 자료</t>
        </is>
      </c>
      <c r="D17" s="81" t="inlineStr">
        <is>
          <t>어티슈 공식 온라인 스토어</t>
        </is>
      </c>
      <c r="E17" s="81" t="inlineStr">
        <is>
          <t>https://www.atiissu.com/kr/ko</t>
        </is>
      </c>
      <c r="F17" s="81" t="inlineStr">
        <is>
          <t>헤드웨어와 컬렉션 접점 확인. 독립 방문 후기는 찾지 못함</t>
        </is>
      </c>
      <c r="G17" s="81" t="inlineStr">
        <is>
          <t>피팅, 재고 문의와 초청, 수신 동의를 분리</t>
        </is>
      </c>
      <c r="H17" s="82" t="inlineStr">
        <is>
          <t>피팅 완료, 재고 문의, 동의 누락</t>
        </is>
      </c>
    </row>
    <row r="18" ht="62" customHeight="1">
      <c r="A18" s="91" t="inlineStr">
        <is>
          <t>Nuflaat</t>
        </is>
      </c>
      <c r="B18" s="92" t="inlineStr">
        <is>
          <t>테이블웨어, 매장</t>
        </is>
      </c>
      <c r="C18" s="92" t="inlineStr">
        <is>
          <t>공식 자료</t>
        </is>
      </c>
      <c r="D18" s="92" t="inlineStr">
        <is>
          <t>누플랏 공식 온라인 스토어</t>
        </is>
      </c>
      <c r="E18" s="92" t="inlineStr">
        <is>
          <t>https://www.nuflaat.com/kr/ko</t>
        </is>
      </c>
      <c r="F18" s="92" t="inlineStr">
        <is>
          <t>제품과 매장 접점 확인. 팝업 운영 증거로 사용하지 않음</t>
        </is>
      </c>
      <c r="G18" s="92" t="inlineStr">
        <is>
          <t>같은 공간에서도 브랜드별 관심과 동의를 따로 기록</t>
        </is>
      </c>
      <c r="H18" s="93" t="inlineStr">
        <is>
          <t>교차 관심, 브랜드별 동의</t>
        </is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7" customWidth="1" min="3" max="3"/>
    <col width="42" customWidth="1" min="4" max="4"/>
    <col width="15" customWidth="1" min="5" max="5"/>
  </cols>
  <sheetData>
    <row r="1" ht="42" customHeight="1">
      <c r="A1" s="160" t="inlineStr">
        <is>
          <t>CRM LOOP 사례 B
유관 부서와 먼저 맞출 내용</t>
        </is>
      </c>
      <c r="B1" s="156" t="n"/>
      <c r="C1" s="156" t="n"/>
      <c r="D1" s="156" t="n"/>
      <c r="E1" s="156" t="n"/>
    </row>
    <row r="2" ht="42" customHeight="1">
      <c r="A2" s="161" t="inlineStr">
        <is>
          <t>CRM은 동의한 고객의 선택과 반응 기록을, LOOP는 그 기록이 초청, 참석, 상담, 재방문으로 다시 이어지는 순환을 뜻합니다.</t>
        </is>
      </c>
      <c r="B2" s="156" t="n"/>
      <c r="C2" s="156" t="n"/>
      <c r="D2" s="156" t="n"/>
      <c r="E2" s="156" t="n"/>
    </row>
    <row r="3" ht="24" customHeight="1">
      <c r="A3" s="163" t="inlineStr">
        <is>
          <t>제가 붙인 프로젝트 이름이며 실제 브랜드가 사용한 행사명은 아닙니다. 회사에서 행사를 운영한 경력으로 제시하지 않습니다.</t>
        </is>
      </c>
      <c r="B3" s="156" t="n"/>
      <c r="C3" s="156" t="n"/>
      <c r="D3" s="156" t="n"/>
      <c r="E3" s="156" t="n"/>
    </row>
    <row r="4"/>
    <row r="5" ht="30" customHeight="1">
      <c r="A5" s="159" t="inlineStr">
        <is>
          <t>팀마다 먼저 확인할 내용</t>
        </is>
      </c>
      <c r="B5" s="156" t="n"/>
      <c r="C5" s="156" t="n"/>
      <c r="D5" s="156" t="n"/>
      <c r="E5" s="156" t="n"/>
    </row>
    <row r="6" ht="28" customHeight="1">
      <c r="A6" s="48" t="inlineStr">
        <is>
          <t>협업 부서</t>
        </is>
      </c>
      <c r="B6" s="48" t="inlineStr">
        <is>
          <t>먼저 확인할 것</t>
        </is>
      </c>
      <c r="C6" s="48" t="inlineStr">
        <is>
          <t>함께 결정할 것</t>
        </is>
      </c>
      <c r="D6" s="48" t="inlineStr">
        <is>
          <t>인계할 결과</t>
        </is>
      </c>
    </row>
    <row r="7" ht="76" customHeight="1">
      <c r="A7" s="20" t="inlineStr">
        <is>
          <t>리테일, 현장</t>
        </is>
      </c>
      <c r="B7" s="20" t="inlineStr">
        <is>
          <t>시간대별 수용량, 직원 배치, 혜택, 제품 재고, 품절 시 대체 가능 범위</t>
        </is>
      </c>
      <c r="C7" s="20" t="inlineStr">
        <is>
          <t>대기 목표와 VIP 에스코트 기준, 재고 소진 시 고객 선택지</t>
        </is>
      </c>
      <c r="D7" s="20" t="inlineStr">
        <is>
          <t>정원표, 인력표, 서비스 복구 기준</t>
        </is>
      </c>
    </row>
    <row r="8" ht="76" customHeight="1">
      <c r="A8" s="20" t="inlineStr">
        <is>
          <t>콘텐츠</t>
        </is>
      </c>
      <c r="B8" s="20" t="inlineStr">
        <is>
          <t>공개 전후 메시지 범위, 엠바고, 필수 제품 정보, 채널별 표현</t>
        </is>
      </c>
      <c r="C8" s="20" t="inlineStr">
        <is>
          <t>공개 티저와 VIP 선공개 정보의 차이, 후속 메시지 변형</t>
        </is>
      </c>
      <c r="D8" s="20" t="inlineStr">
        <is>
          <t>콘텐츠 캘린더, 메시지 승인본, 반응 태그</t>
        </is>
      </c>
    </row>
    <row r="9" ht="76" customHeight="1">
      <c r="A9" s="20" t="inlineStr">
        <is>
          <t>디자인, 공간</t>
        </is>
      </c>
      <c r="B9" s="20" t="inlineStr">
        <is>
          <t>초청장, 현장 사인, 체험물, 촬영, 동의 화면의 제작 조건</t>
        </is>
      </c>
      <c r="C9" s="20" t="inlineStr">
        <is>
          <t>고객 동선별 필요한 정보와 개인정보 노출 최소화</t>
        </is>
      </c>
      <c r="D9" s="20" t="inlineStr">
        <is>
          <t>제작물 목록, 설치 위치, 최종 승인 시점</t>
        </is>
      </c>
    </row>
  </sheetData>
  <mergeCells count="4">
    <mergeCell ref="A2:E2"/>
    <mergeCell ref="A1:E1"/>
    <mergeCell ref="A5:E5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F6340"/>
    <outlinePr summaryBelow="1" summaryRight="1"/>
    <pageSetUpPr/>
  </sheetPr>
  <dimension ref="A1:O17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28" customWidth="1" min="4" max="4"/>
    <col width="11" customWidth="1" min="5" max="5"/>
    <col width="11" customWidth="1" min="6" max="6"/>
    <col width="11" customWidth="1" min="7" max="7"/>
    <col width="12" customWidth="1" min="8" max="8"/>
    <col width="14" customWidth="1" min="9" max="9"/>
    <col width="24" customWidth="1" min="10" max="10"/>
    <col width="18" customWidth="1" min="11" max="11"/>
    <col width="12" customWidth="1" min="12" max="12"/>
    <col width="13" customWidth="1" min="13" max="13"/>
    <col width="24" customWidth="1" min="14" max="14"/>
    <col width="12" customWidth="1" min="15" max="15"/>
  </cols>
  <sheetData>
    <row r="1" ht="42" customHeight="1">
      <c r="A1" s="154" t="inlineStr">
        <is>
          <t>CRM LOOP 사례 B
가상 고객 운영 로그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5" t="n"/>
    </row>
    <row r="2" ht="24" customHeight="1">
      <c r="A2" s="117" t="inlineStr">
        <is>
          <t>개인정보가 아닌 가상 고객 ID 12건으로 기록 구조와 업무 인계를 보여줍니다. 240명 가상 퍼널의 원본 데이터가 아닙니다.</t>
        </is>
      </c>
      <c r="B2" s="166" t="n"/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23" t="n"/>
    </row>
    <row r="3" ht="24" customHeight="1">
      <c r="A3" s="120" t="inlineStr">
        <is>
          <t>노란색 열은 담당자가 입력하고, 마지막 열은 처리 상태에 따라 자동으로 후속 확인 여부를 표시합니다.</t>
        </is>
      </c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123" t="n"/>
    </row>
    <row r="4">
      <c r="A4" s="123" t="n"/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5" t="n"/>
    </row>
    <row r="5" ht="28" customHeight="1">
      <c r="A5" s="126" t="inlineStr">
        <is>
          <t>고객 ID</t>
        </is>
      </c>
      <c r="B5" s="127" t="inlineStr">
        <is>
          <t>선호 언어</t>
        </is>
      </c>
      <c r="C5" s="127" t="inlineStr">
        <is>
          <t>고객군</t>
        </is>
      </c>
      <c r="D5" s="127" t="inlineStr">
        <is>
          <t>초청 이유</t>
        </is>
      </c>
      <c r="E5" s="127" t="inlineStr">
        <is>
          <t>RSVP</t>
        </is>
      </c>
      <c r="F5" s="127" t="inlineStr">
        <is>
          <t>참석</t>
        </is>
      </c>
      <c r="G5" s="127" t="inlineStr">
        <is>
          <t>체험</t>
        </is>
      </c>
      <c r="H5" s="127" t="inlineStr">
        <is>
          <t>선호 향</t>
        </is>
      </c>
      <c r="I5" s="127" t="inlineStr">
        <is>
          <t>마케팅 동의</t>
        </is>
      </c>
      <c r="J5" s="127" t="inlineStr">
        <is>
          <t>후속 행동</t>
        </is>
      </c>
      <c r="K5" s="127" t="inlineStr">
        <is>
          <t>담당자</t>
        </is>
      </c>
      <c r="L5" s="127" t="inlineStr">
        <is>
          <t>처리 기한</t>
        </is>
      </c>
      <c r="M5" s="127" t="inlineStr">
        <is>
          <t>처리 상태</t>
        </is>
      </c>
      <c r="N5" s="127" t="inlineStr">
        <is>
          <t>완료 근거</t>
        </is>
      </c>
      <c r="O5" s="128" t="inlineStr">
        <is>
          <t>후속 필요</t>
        </is>
      </c>
    </row>
    <row r="6" ht="42" customHeight="1">
      <c r="A6" s="129" t="inlineStr">
        <is>
          <t>SL-SAMPLE-001</t>
        </is>
      </c>
      <c r="B6" s="130" t="inlineStr">
        <is>
          <t>한국어</t>
        </is>
      </c>
      <c r="C6" s="130" t="inlineStr">
        <is>
          <t>상위 구매 고객</t>
        </is>
      </c>
      <c r="D6" s="131" t="inlineStr">
        <is>
          <t>최근 향 제품 구매와 상담 이력</t>
        </is>
      </c>
      <c r="E6" s="132" t="inlineStr">
        <is>
          <t>응답</t>
        </is>
      </c>
      <c r="F6" s="132" t="inlineStr">
        <is>
          <t>참석</t>
        </is>
      </c>
      <c r="G6" s="132" t="inlineStr">
        <is>
          <t>완료</t>
        </is>
      </c>
      <c r="H6" s="132" t="inlineStr">
        <is>
          <t>우디</t>
        </is>
      </c>
      <c r="I6" s="132" t="inlineStr">
        <is>
          <t>동의</t>
        </is>
      </c>
      <c r="J6" s="133" t="inlineStr">
        <is>
          <t>1:1 상담 예약</t>
        </is>
      </c>
      <c r="K6" s="133" t="inlineStr">
        <is>
          <t>Client Care</t>
        </is>
      </c>
      <c r="L6" s="133" t="inlineStr">
        <is>
          <t>D+2</t>
        </is>
      </c>
      <c r="M6" s="133" t="inlineStr">
        <is>
          <t>완료</t>
        </is>
      </c>
      <c r="N6" s="131" t="inlineStr">
        <is>
          <t>상담 예약 기록</t>
        </is>
      </c>
      <c r="O6" s="134">
        <f>IF(AND(M6="완료",N6&lt;&gt;""),"-","확인")</f>
        <v/>
      </c>
    </row>
    <row r="7" ht="42" customHeight="1">
      <c r="A7" s="129" t="inlineStr">
        <is>
          <t>SL-SAMPLE-002</t>
        </is>
      </c>
      <c r="B7" s="130" t="inlineStr">
        <is>
          <t>한국어</t>
        </is>
      </c>
      <c r="C7" s="130" t="inlineStr">
        <is>
          <t>카디퓨저 관심 고객</t>
        </is>
      </c>
      <c r="D7" s="131" t="inlineStr">
        <is>
          <t>상품 저장 후 미구매</t>
        </is>
      </c>
      <c r="E7" s="132" t="inlineStr">
        <is>
          <t>응답</t>
        </is>
      </c>
      <c r="F7" s="132" t="inlineStr">
        <is>
          <t>참석</t>
        </is>
      </c>
      <c r="G7" s="132" t="inlineStr">
        <is>
          <t>중단</t>
        </is>
      </c>
      <c r="H7" s="132" t="inlineStr">
        <is>
          <t>시트러스</t>
        </is>
      </c>
      <c r="I7" s="132" t="inlineStr">
        <is>
          <t>동의</t>
        </is>
      </c>
      <c r="J7" s="133" t="inlineStr">
        <is>
          <t>DIY 재예약</t>
        </is>
      </c>
      <c r="K7" s="133" t="inlineStr">
        <is>
          <t>Experience Lead</t>
        </is>
      </c>
      <c r="L7" s="133" t="inlineStr">
        <is>
          <t>D+3</t>
        </is>
      </c>
      <c r="M7" s="133" t="inlineStr">
        <is>
          <t>진행 중</t>
        </is>
      </c>
      <c r="N7" s="131" t="inlineStr">
        <is>
          <t>재예약 요청 접수</t>
        </is>
      </c>
      <c r="O7" s="134">
        <f>IF(AND(M7="완료",N7&lt;&gt;""),"-","확인")</f>
        <v/>
      </c>
    </row>
    <row r="8" ht="42" customHeight="1">
      <c r="A8" s="129" t="inlineStr">
        <is>
          <t>SL-SAMPLE-003</t>
        </is>
      </c>
      <c r="B8" s="130" t="inlineStr">
        <is>
          <t>한국어</t>
        </is>
      </c>
      <c r="C8" s="130" t="inlineStr">
        <is>
          <t>휴면 VIP</t>
        </is>
      </c>
      <c r="D8" s="131" t="inlineStr">
        <is>
          <t>최근 12개월 반응 없음</t>
        </is>
      </c>
      <c r="E8" s="132" t="inlineStr">
        <is>
          <t>미응답</t>
        </is>
      </c>
      <c r="F8" s="132" t="inlineStr">
        <is>
          <t>미확인</t>
        </is>
      </c>
      <c r="G8" s="132" t="inlineStr">
        <is>
          <t>미체험</t>
        </is>
      </c>
      <c r="H8" s="132" t="inlineStr">
        <is>
          <t>-</t>
        </is>
      </c>
      <c r="I8" s="132" t="inlineStr">
        <is>
          <t>미확인</t>
        </is>
      </c>
      <c r="J8" s="133" t="inlineStr">
        <is>
          <t>리마인드 1회 후 종료</t>
        </is>
      </c>
      <c r="K8" s="133" t="inlineStr">
        <is>
          <t>CRM Manager</t>
        </is>
      </c>
      <c r="L8" s="133" t="inlineStr">
        <is>
          <t>T-4주</t>
        </is>
      </c>
      <c r="M8" s="133" t="inlineStr">
        <is>
          <t>미처리</t>
        </is>
      </c>
      <c r="N8" s="131" t="str"/>
      <c r="O8" s="134">
        <f>IF(AND(M8="완료",N8&lt;&gt;""),"-","확인")</f>
        <v/>
      </c>
    </row>
    <row r="9" ht="42" customHeight="1">
      <c r="A9" s="129" t="inlineStr">
        <is>
          <t>SL-SAMPLE-004</t>
        </is>
      </c>
      <c r="B9" s="130" t="inlineStr">
        <is>
          <t>일본어</t>
        </is>
      </c>
      <c r="C9" s="130" t="inlineStr">
        <is>
          <t>상위 구매 고객</t>
        </is>
      </c>
      <c r="D9" s="131" t="inlineStr">
        <is>
          <t>서울 방문 예정과 신제품 관심</t>
        </is>
      </c>
      <c r="E9" s="132" t="inlineStr">
        <is>
          <t>응답</t>
        </is>
      </c>
      <c r="F9" s="132" t="inlineStr">
        <is>
          <t>노쇼</t>
        </is>
      </c>
      <c r="G9" s="132" t="inlineStr">
        <is>
          <t>미체험</t>
        </is>
      </c>
      <c r="H9" s="132" t="inlineStr">
        <is>
          <t>-</t>
        </is>
      </c>
      <c r="I9" s="132" t="inlineStr">
        <is>
          <t>미확인</t>
        </is>
      </c>
      <c r="J9" s="133" t="inlineStr">
        <is>
          <t>사유 선택 안내</t>
        </is>
      </c>
      <c r="K9" s="133" t="inlineStr">
        <is>
          <t>Guest Manager</t>
        </is>
      </c>
      <c r="L9" s="133" t="inlineStr">
        <is>
          <t>D+1</t>
        </is>
      </c>
      <c r="M9" s="133" t="inlineStr">
        <is>
          <t>진행 중</t>
        </is>
      </c>
      <c r="N9" s="131" t="inlineStr">
        <is>
          <t>연락 시도 기록</t>
        </is>
      </c>
      <c r="O9" s="134">
        <f>IF(AND(M9="완료",N9&lt;&gt;""),"-","확인")</f>
        <v/>
      </c>
    </row>
    <row r="10" ht="42" customHeight="1">
      <c r="A10" s="129" t="inlineStr">
        <is>
          <t>SL-SAMPLE-005</t>
        </is>
      </c>
      <c r="B10" s="130" t="inlineStr">
        <is>
          <t>한국어</t>
        </is>
      </c>
      <c r="C10" s="130" t="inlineStr">
        <is>
          <t>브랜드 크리에이터</t>
        </is>
      </c>
      <c r="D10" s="131" t="inlineStr">
        <is>
          <t>향 콘텐츠 적합성</t>
        </is>
      </c>
      <c r="E10" s="132" t="inlineStr">
        <is>
          <t>응답</t>
        </is>
      </c>
      <c r="F10" s="132" t="inlineStr">
        <is>
          <t>참석</t>
        </is>
      </c>
      <c r="G10" s="132" t="inlineStr">
        <is>
          <t>완료</t>
        </is>
      </c>
      <c r="H10" s="132" t="inlineStr">
        <is>
          <t>플로럴</t>
        </is>
      </c>
      <c r="I10" s="132" t="inlineStr">
        <is>
          <t>거절</t>
        </is>
      </c>
      <c r="J10" s="133" t="inlineStr">
        <is>
          <t>마케팅 발송 제외</t>
        </is>
      </c>
      <c r="K10" s="133" t="inlineStr">
        <is>
          <t>CRM &amp; Privacy</t>
        </is>
      </c>
      <c r="L10" s="133" t="inlineStr">
        <is>
          <t>당일</t>
        </is>
      </c>
      <c r="M10" s="133" t="inlineStr">
        <is>
          <t>완료</t>
        </is>
      </c>
      <c r="N10" s="131" t="inlineStr">
        <is>
          <t>거절 시각 기록</t>
        </is>
      </c>
      <c r="O10" s="134">
        <f>IF(AND(M10="완료",N10&lt;&gt;""),"-","확인")</f>
        <v/>
      </c>
    </row>
    <row r="11" ht="42" customHeight="1">
      <c r="A11" s="129" t="inlineStr">
        <is>
          <t>SL-SAMPLE-006</t>
        </is>
      </c>
      <c r="B11" s="130" t="inlineStr">
        <is>
          <t>영어</t>
        </is>
      </c>
      <c r="C11" s="130" t="inlineStr">
        <is>
          <t>카디퓨저 관심 고객</t>
        </is>
      </c>
      <c r="D11" s="131" t="inlineStr">
        <is>
          <t>차량용 향 제품 관심</t>
        </is>
      </c>
      <c r="E11" s="132" t="inlineStr">
        <is>
          <t>응답</t>
        </is>
      </c>
      <c r="F11" s="132" t="inlineStr">
        <is>
          <t>참석</t>
        </is>
      </c>
      <c r="G11" s="132" t="inlineStr">
        <is>
          <t>완료</t>
        </is>
      </c>
      <c r="H11" s="132" t="inlineStr">
        <is>
          <t>머스크</t>
        </is>
      </c>
      <c r="I11" s="132" t="inlineStr">
        <is>
          <t>동의</t>
        </is>
      </c>
      <c r="J11" s="133" t="inlineStr">
        <is>
          <t>선호 언어로 사용 팁 발송</t>
        </is>
      </c>
      <c r="K11" s="133" t="inlineStr">
        <is>
          <t>Lifecycle CRM</t>
        </is>
      </c>
      <c r="L11" s="133" t="inlineStr">
        <is>
          <t>D+1</t>
        </is>
      </c>
      <c r="M11" s="133" t="inlineStr">
        <is>
          <t>완료</t>
        </is>
      </c>
      <c r="N11" s="131" t="inlineStr">
        <is>
          <t>메시지 발송 기록</t>
        </is>
      </c>
      <c r="O11" s="134">
        <f>IF(AND(M11="완료",N11&lt;&gt;""),"-","확인")</f>
        <v/>
      </c>
    </row>
    <row r="12" ht="42" customHeight="1">
      <c r="A12" s="129" t="inlineStr">
        <is>
          <t>SL-SAMPLE-007</t>
        </is>
      </c>
      <c r="B12" s="130" t="inlineStr">
        <is>
          <t>한국어</t>
        </is>
      </c>
      <c r="C12" s="130" t="inlineStr">
        <is>
          <t>상위 구매 고객</t>
        </is>
      </c>
      <c r="D12" s="131" t="inlineStr">
        <is>
          <t>재구매 주기 도래</t>
        </is>
      </c>
      <c r="E12" s="132" t="inlineStr">
        <is>
          <t>응답</t>
        </is>
      </c>
      <c r="F12" s="132" t="inlineStr">
        <is>
          <t>참석</t>
        </is>
      </c>
      <c r="G12" s="132" t="inlineStr">
        <is>
          <t>완료</t>
        </is>
      </c>
      <c r="H12" s="132" t="inlineStr">
        <is>
          <t>우디</t>
        </is>
      </c>
      <c r="I12" s="132" t="inlineStr">
        <is>
          <t>동의</t>
        </is>
      </c>
      <c r="J12" s="133" t="inlineStr">
        <is>
          <t>재고 문의 인계</t>
        </is>
      </c>
      <c r="K12" s="133" t="inlineStr">
        <is>
          <t>Client Care</t>
        </is>
      </c>
      <c r="L12" s="133" t="inlineStr">
        <is>
          <t>D+1</t>
        </is>
      </c>
      <c r="M12" s="133" t="inlineStr">
        <is>
          <t>지연</t>
        </is>
      </c>
      <c r="N12" s="131" t="inlineStr">
        <is>
          <t>담당자 미배정</t>
        </is>
      </c>
      <c r="O12" s="134">
        <f>IF(AND(M12="완료",N12&lt;&gt;""),"-","확인")</f>
        <v/>
      </c>
    </row>
    <row r="13" ht="42" customHeight="1">
      <c r="A13" s="129" t="inlineStr">
        <is>
          <t>SL-SAMPLE-008</t>
        </is>
      </c>
      <c r="B13" s="130" t="inlineStr">
        <is>
          <t>영어</t>
        </is>
      </c>
      <c r="C13" s="130" t="inlineStr">
        <is>
          <t>브랜드 크리에이터</t>
        </is>
      </c>
      <c r="D13" s="131" t="inlineStr">
        <is>
          <t>신제품 콘텐츠 협업 후보</t>
        </is>
      </c>
      <c r="E13" s="132" t="inlineStr">
        <is>
          <t>거절</t>
        </is>
      </c>
      <c r="F13" s="132" t="inlineStr">
        <is>
          <t>미참석</t>
        </is>
      </c>
      <c r="G13" s="132" t="inlineStr">
        <is>
          <t>미체험</t>
        </is>
      </c>
      <c r="H13" s="132" t="inlineStr">
        <is>
          <t>-</t>
        </is>
      </c>
      <c r="I13" s="132" t="inlineStr">
        <is>
          <t>미확인</t>
        </is>
      </c>
      <c r="J13" s="133" t="inlineStr">
        <is>
          <t>초청 종료</t>
        </is>
      </c>
      <c r="K13" s="133" t="inlineStr">
        <is>
          <t>CRM Manager</t>
        </is>
      </c>
      <c r="L13" s="133" t="inlineStr">
        <is>
          <t>T-3주</t>
        </is>
      </c>
      <c r="M13" s="133" t="inlineStr">
        <is>
          <t>완료</t>
        </is>
      </c>
      <c r="N13" s="131" t="inlineStr">
        <is>
          <t>거절 시각 기록</t>
        </is>
      </c>
      <c r="O13" s="134">
        <f>IF(AND(M13="완료",N13&lt;&gt;""),"-","확인")</f>
        <v/>
      </c>
    </row>
    <row r="14" ht="42" customHeight="1">
      <c r="A14" s="129" t="inlineStr">
        <is>
          <t>SL-SAMPLE-009</t>
        </is>
      </c>
      <c r="B14" s="130" t="inlineStr">
        <is>
          <t>한국어</t>
        </is>
      </c>
      <c r="C14" s="130" t="inlineStr">
        <is>
          <t>카디퓨저 관심 고객</t>
        </is>
      </c>
      <c r="D14" s="131" t="inlineStr">
        <is>
          <t>제품 상세 페이지 반복 방문</t>
        </is>
      </c>
      <c r="E14" s="132" t="inlineStr">
        <is>
          <t>응답</t>
        </is>
      </c>
      <c r="F14" s="132" t="inlineStr">
        <is>
          <t>참석</t>
        </is>
      </c>
      <c r="G14" s="132" t="inlineStr">
        <is>
          <t>완료</t>
        </is>
      </c>
      <c r="H14" s="132" t="inlineStr">
        <is>
          <t>시트러스</t>
        </is>
      </c>
      <c r="I14" s="132" t="inlineStr">
        <is>
          <t>동의</t>
        </is>
      </c>
      <c r="J14" s="133" t="inlineStr">
        <is>
          <t>구매 링크 발송</t>
        </is>
      </c>
      <c r="K14" s="133" t="inlineStr">
        <is>
          <t>Lifecycle CRM</t>
        </is>
      </c>
      <c r="L14" s="133" t="inlineStr">
        <is>
          <t>D+1</t>
        </is>
      </c>
      <c r="M14" s="133" t="inlineStr">
        <is>
          <t>진행 중</t>
        </is>
      </c>
      <c r="N14" s="131" t="inlineStr">
        <is>
          <t>클릭 미확인</t>
        </is>
      </c>
      <c r="O14" s="134">
        <f>IF(AND(M14="완료",N14&lt;&gt;""),"-","확인")</f>
        <v/>
      </c>
    </row>
    <row r="15" ht="42" customHeight="1">
      <c r="A15" s="129" t="inlineStr">
        <is>
          <t>SL-SAMPLE-010</t>
        </is>
      </c>
      <c r="B15" s="130" t="inlineStr">
        <is>
          <t>한국어</t>
        </is>
      </c>
      <c r="C15" s="130" t="inlineStr">
        <is>
          <t>휴면 VIP</t>
        </is>
      </c>
      <c r="D15" s="131" t="inlineStr">
        <is>
          <t>신제품 프리뷰 재활성화</t>
        </is>
      </c>
      <c r="E15" s="132" t="inlineStr">
        <is>
          <t>응답</t>
        </is>
      </c>
      <c r="F15" s="132" t="inlineStr">
        <is>
          <t>참석</t>
        </is>
      </c>
      <c r="G15" s="132" t="inlineStr">
        <is>
          <t>완료</t>
        </is>
      </c>
      <c r="H15" s="132" t="inlineStr">
        <is>
          <t>플로럴</t>
        </is>
      </c>
      <c r="I15" s="132" t="inlineStr">
        <is>
          <t>거절</t>
        </is>
      </c>
      <c r="J15" s="133" t="inlineStr">
        <is>
          <t>후속 발송 제외</t>
        </is>
      </c>
      <c r="K15" s="133" t="inlineStr">
        <is>
          <t>CRM &amp; Privacy</t>
        </is>
      </c>
      <c r="L15" s="133" t="inlineStr">
        <is>
          <t>당일</t>
        </is>
      </c>
      <c r="M15" s="133" t="inlineStr">
        <is>
          <t>완료</t>
        </is>
      </c>
      <c r="N15" s="131" t="inlineStr">
        <is>
          <t>거절 시각 기록</t>
        </is>
      </c>
      <c r="O15" s="134">
        <f>IF(AND(M15="완료",N15&lt;&gt;""),"-","확인")</f>
        <v/>
      </c>
    </row>
    <row r="16" ht="42" customHeight="1">
      <c r="A16" s="129" t="inlineStr">
        <is>
          <t>SL-SAMPLE-011</t>
        </is>
      </c>
      <c r="B16" s="130" t="inlineStr">
        <is>
          <t>일본어</t>
        </is>
      </c>
      <c r="C16" s="130" t="inlineStr">
        <is>
          <t>상위 구매 고객</t>
        </is>
      </c>
      <c r="D16" s="131" t="inlineStr">
        <is>
          <t>VIP 상담 요청</t>
        </is>
      </c>
      <c r="E16" s="132" t="inlineStr">
        <is>
          <t>응답</t>
        </is>
      </c>
      <c r="F16" s="132" t="inlineStr">
        <is>
          <t>참석</t>
        </is>
      </c>
      <c r="G16" s="132" t="inlineStr">
        <is>
          <t>완료</t>
        </is>
      </c>
      <c r="H16" s="132" t="inlineStr">
        <is>
          <t>머스크</t>
        </is>
      </c>
      <c r="I16" s="132" t="inlineStr">
        <is>
          <t>동의</t>
        </is>
      </c>
      <c r="J16" s="133" t="inlineStr">
        <is>
          <t>화상 상담 예약</t>
        </is>
      </c>
      <c r="K16" s="133" t="inlineStr">
        <is>
          <t>Client Care</t>
        </is>
      </c>
      <c r="L16" s="133" t="inlineStr">
        <is>
          <t>D+2</t>
        </is>
      </c>
      <c r="M16" s="133" t="inlineStr">
        <is>
          <t>미처리</t>
        </is>
      </c>
      <c r="N16" s="131" t="inlineStr">
        <is>
          <t>상담 시간 미확정</t>
        </is>
      </c>
      <c r="O16" s="134">
        <f>IF(AND(M16="완료",N16&lt;&gt;""),"-","확인")</f>
        <v/>
      </c>
    </row>
    <row r="17" ht="42" customHeight="1">
      <c r="A17" s="135" t="inlineStr">
        <is>
          <t>SL-SAMPLE-012</t>
        </is>
      </c>
      <c r="B17" s="136" t="inlineStr">
        <is>
          <t>한국어</t>
        </is>
      </c>
      <c r="C17" s="136" t="inlineStr">
        <is>
          <t>카디퓨저 관심 고객</t>
        </is>
      </c>
      <c r="D17" s="137" t="inlineStr">
        <is>
          <t>DIY 체험 관심</t>
        </is>
      </c>
      <c r="E17" s="138" t="inlineStr">
        <is>
          <t>응답</t>
        </is>
      </c>
      <c r="F17" s="138" t="inlineStr">
        <is>
          <t>참석</t>
        </is>
      </c>
      <c r="G17" s="138" t="inlineStr">
        <is>
          <t>중단</t>
        </is>
      </c>
      <c r="H17" s="138" t="inlineStr">
        <is>
          <t>-</t>
        </is>
      </c>
      <c r="I17" s="138" t="inlineStr">
        <is>
          <t>동의</t>
        </is>
      </c>
      <c r="J17" s="139" t="inlineStr">
        <is>
          <t>대체 샘플 발송</t>
        </is>
      </c>
      <c r="K17" s="139" t="inlineStr">
        <is>
          <t>Experience Lead</t>
        </is>
      </c>
      <c r="L17" s="139" t="inlineStr">
        <is>
          <t>D+2</t>
        </is>
      </c>
      <c r="M17" s="139" t="inlineStr">
        <is>
          <t>완료</t>
        </is>
      </c>
      <c r="N17" s="137" t="inlineStr">
        <is>
          <t>샘플 인계 기록</t>
        </is>
      </c>
      <c r="O17" s="140">
        <f>IF(AND(M17="완료",N17&lt;&gt;""),"-","확인")</f>
        <v/>
      </c>
    </row>
  </sheetData>
  <mergeCells count="3">
    <mergeCell ref="A1:O1"/>
    <mergeCell ref="A3:O3"/>
    <mergeCell ref="A2:O2"/>
  </mergeCells>
  <conditionalFormatting sqref="M6:M17">
    <cfRule type="expression" priority="1" dxfId="6">
      <formula>AND($M6="완료",$N6&lt;&gt;"")</formula>
    </cfRule>
    <cfRule type="expression" priority="2" dxfId="7">
      <formula>OR($M6="지연",AND($M6="완료",$N6=""))</formula>
    </cfRule>
    <cfRule type="expression" priority="3" dxfId="8">
      <formula>OR($M6="미처리",$M6="진행 중")</formula>
    </cfRule>
  </conditionalFormatting>
  <dataValidations count="3">
    <dataValidation sqref="E6:G17" showDropDown="0" showInputMessage="0" showErrorMessage="0" allowBlank="0" type="list">
      <formula1>"응답,미응답,거절,대기,참석,미참석,노쇼,미확인,완료,중단,미체험"</formula1>
    </dataValidation>
    <dataValidation sqref="I6:I17" showDropDown="0" showInputMessage="0" showErrorMessage="0" allowBlank="0" type="list">
      <formula1>"동의,거절,미확인"</formula1>
    </dataValidation>
    <dataValidation sqref="M6:M17" showDropDown="0" showInputMessage="0" showErrorMessage="0" allowBlank="0" type="list">
      <formula1>"미처리,진행 중,완료,지연"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6F8B72"/>
    <outlinePr summaryBelow="1" summaryRight="1"/>
    <pageSetUpPr/>
  </sheetPr>
  <dimension ref="A1:I13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0" customWidth="1" min="4" max="4"/>
    <col width="34" customWidth="1" min="5" max="5"/>
    <col width="18" customWidth="1" min="6" max="6"/>
    <col width="11" customWidth="1" min="7" max="7"/>
    <col width="13" customWidth="1" min="8" max="8"/>
    <col width="26" customWidth="1" min="9" max="9"/>
  </cols>
  <sheetData>
    <row r="1" ht="42" customHeight="1">
      <c r="A1" s="154" t="inlineStr">
        <is>
          <t>CRM LOOP 사례 B
누락 고객 후속 업무</t>
        </is>
      </c>
      <c r="B1" s="164" t="n"/>
      <c r="C1" s="164" t="n"/>
      <c r="D1" s="164" t="n"/>
      <c r="E1" s="164" t="n"/>
      <c r="F1" s="164" t="n"/>
      <c r="G1" s="164" t="n"/>
      <c r="H1" s="164" t="n"/>
      <c r="I1" s="165" t="n"/>
    </row>
    <row r="2" ht="24" customHeight="1">
      <c r="A2" s="117" t="inlineStr">
        <is>
          <t>고객이 단계 사이에서 빠졌을 때 삭제하지 않고, 담당자, 기한, 선택권, 완료 근거를 남기는 가상 업무 대기열입니다.</t>
        </is>
      </c>
      <c r="B2" s="166" t="n"/>
      <c r="C2" s="166" t="n"/>
      <c r="D2" s="166" t="n"/>
      <c r="E2" s="166" t="n"/>
      <c r="F2" s="166" t="n"/>
      <c r="G2" s="166" t="n"/>
      <c r="H2" s="166" t="n"/>
      <c r="I2" s="123" t="n"/>
    </row>
    <row r="3" ht="24" customHeight="1">
      <c r="A3" s="120" t="inlineStr">
        <is>
          <t>실제 고객 데이터가 아니며, 업무가 완료되려면 상태와 근거가 함께 남아야 합니다.</t>
        </is>
      </c>
      <c r="B3" s="166" t="n"/>
      <c r="C3" s="166" t="n"/>
      <c r="D3" s="166" t="n"/>
      <c r="E3" s="166" t="n"/>
      <c r="F3" s="166" t="n"/>
      <c r="G3" s="166" t="n"/>
      <c r="H3" s="166" t="n"/>
      <c r="I3" s="123" t="n"/>
    </row>
    <row r="4">
      <c r="A4" s="123" t="n"/>
      <c r="B4" s="124" t="n"/>
      <c r="C4" s="124" t="n"/>
      <c r="D4" s="124" t="n"/>
      <c r="E4" s="124" t="n"/>
      <c r="F4" s="124" t="n"/>
      <c r="G4" s="124" t="n"/>
      <c r="H4" s="124" t="n"/>
      <c r="I4" s="125" t="n"/>
    </row>
    <row r="5" ht="28" customHeight="1">
      <c r="A5" s="143" t="inlineStr">
        <is>
          <t>업무 ID</t>
        </is>
      </c>
      <c r="B5" s="144" t="inlineStr">
        <is>
          <t>고객 ID</t>
        </is>
      </c>
      <c r="C5" s="144" t="inlineStr">
        <is>
          <t>발생 구간</t>
        </is>
      </c>
      <c r="D5" s="144" t="inlineStr">
        <is>
          <t>사유</t>
        </is>
      </c>
      <c r="E5" s="144" t="inlineStr">
        <is>
          <t>고객 선택권과 다음 조치</t>
        </is>
      </c>
      <c r="F5" s="144" t="inlineStr">
        <is>
          <t>담당자</t>
        </is>
      </c>
      <c r="G5" s="144" t="inlineStr">
        <is>
          <t>기한</t>
        </is>
      </c>
      <c r="H5" s="144" t="inlineStr">
        <is>
          <t>상태</t>
        </is>
      </c>
      <c r="I5" s="145" t="inlineStr">
        <is>
          <t>완료 근거</t>
        </is>
      </c>
    </row>
    <row r="6" ht="42" customHeight="1">
      <c r="A6" s="146" t="inlineStr">
        <is>
          <t>ACT-001</t>
        </is>
      </c>
      <c r="B6" s="147" t="inlineStr">
        <is>
          <t>SL-SAMPLE-003</t>
        </is>
      </c>
      <c r="C6" s="130" t="inlineStr">
        <is>
          <t>초청과 RSVP 사이</t>
        </is>
      </c>
      <c r="D6" s="130" t="inlineStr">
        <is>
          <t>미응답</t>
        </is>
      </c>
      <c r="E6" s="130" t="inlineStr">
        <is>
          <t>48시간 뒤 1회 알림 후 종료</t>
        </is>
      </c>
      <c r="F6" s="130" t="inlineStr">
        <is>
          <t>CRM Manager</t>
        </is>
      </c>
      <c r="G6" s="147" t="inlineStr">
        <is>
          <t>T-4주</t>
        </is>
      </c>
      <c r="H6" s="147" t="inlineStr">
        <is>
          <t>미처리</t>
        </is>
      </c>
      <c r="I6" s="148" t="str"/>
    </row>
    <row r="7" ht="42" customHeight="1">
      <c r="A7" s="146" t="inlineStr">
        <is>
          <t>ACT-002</t>
        </is>
      </c>
      <c r="B7" s="147" t="inlineStr">
        <is>
          <t>SL-SAMPLE-004</t>
        </is>
      </c>
      <c r="C7" s="130" t="inlineStr">
        <is>
          <t>확정과 참석 사이</t>
        </is>
      </c>
      <c r="D7" s="130" t="inlineStr">
        <is>
          <t>노쇼</t>
        </is>
      </c>
      <c r="E7" s="130" t="inlineStr">
        <is>
          <t>운영 연락 범위에서 사유 선택 안내</t>
        </is>
      </c>
      <c r="F7" s="130" t="inlineStr">
        <is>
          <t>Guest Manager</t>
        </is>
      </c>
      <c r="G7" s="147" t="inlineStr">
        <is>
          <t>D+1</t>
        </is>
      </c>
      <c r="H7" s="147" t="inlineStr">
        <is>
          <t>진행 중</t>
        </is>
      </c>
      <c r="I7" s="148" t="inlineStr">
        <is>
          <t>연락 시도 기록</t>
        </is>
      </c>
    </row>
    <row r="8" ht="42" customHeight="1">
      <c r="A8" s="146" t="inlineStr">
        <is>
          <t>ACT-003</t>
        </is>
      </c>
      <c r="B8" s="147" t="inlineStr">
        <is>
          <t>SL-SAMPLE-002</t>
        </is>
      </c>
      <c r="C8" s="130" t="inlineStr">
        <is>
          <t>참석과 체험 사이</t>
        </is>
      </c>
      <c r="D8" s="130" t="inlineStr">
        <is>
          <t>DIY 마감</t>
        </is>
      </c>
      <c r="E8" s="130" t="inlineStr">
        <is>
          <t>샘플 수령 또는 재예약 선택</t>
        </is>
      </c>
      <c r="F8" s="130" t="inlineStr">
        <is>
          <t>Experience Lead</t>
        </is>
      </c>
      <c r="G8" s="147" t="inlineStr">
        <is>
          <t>D+3</t>
        </is>
      </c>
      <c r="H8" s="147" t="inlineStr">
        <is>
          <t>진행 중</t>
        </is>
      </c>
      <c r="I8" s="148" t="inlineStr">
        <is>
          <t>재예약 요청 접수</t>
        </is>
      </c>
    </row>
    <row r="9" ht="42" customHeight="1">
      <c r="A9" s="146" t="inlineStr">
        <is>
          <t>ACT-004</t>
        </is>
      </c>
      <c r="B9" s="147" t="inlineStr">
        <is>
          <t>SL-SAMPLE-005</t>
        </is>
      </c>
      <c r="C9" s="130" t="inlineStr">
        <is>
          <t>참석과 동의 사이</t>
        </is>
      </c>
      <c r="D9" s="130" t="inlineStr">
        <is>
          <t>마케팅 거절</t>
        </is>
      </c>
      <c r="E9" s="130" t="inlineStr">
        <is>
          <t>체험 유지, 마케팅 발송 제외</t>
        </is>
      </c>
      <c r="F9" s="130" t="inlineStr">
        <is>
          <t>CRM &amp; Privacy</t>
        </is>
      </c>
      <c r="G9" s="147" t="inlineStr">
        <is>
          <t>당일</t>
        </is>
      </c>
      <c r="H9" s="147" t="inlineStr">
        <is>
          <t>완료</t>
        </is>
      </c>
      <c r="I9" s="148" t="inlineStr">
        <is>
          <t>거절 시각 기록</t>
        </is>
      </c>
    </row>
    <row r="10" ht="42" customHeight="1">
      <c r="A10" s="146" t="inlineStr">
        <is>
          <t>ACT-005</t>
        </is>
      </c>
      <c r="B10" s="147" t="inlineStr">
        <is>
          <t>SL-SAMPLE-007</t>
        </is>
      </c>
      <c r="C10" s="130" t="inlineStr">
        <is>
          <t>동의와 후속 반응 사이</t>
        </is>
      </c>
      <c r="D10" s="130" t="inlineStr">
        <is>
          <t>담당자 미배정</t>
        </is>
      </c>
      <c r="E10" s="130" t="inlineStr">
        <is>
          <t>재고 문의를 Client Care에 인계</t>
        </is>
      </c>
      <c r="F10" s="130" t="inlineStr">
        <is>
          <t>CRM Lead</t>
        </is>
      </c>
      <c r="G10" s="147" t="inlineStr">
        <is>
          <t>D+1</t>
        </is>
      </c>
      <c r="H10" s="147" t="inlineStr">
        <is>
          <t>지연</t>
        </is>
      </c>
      <c r="I10" s="148" t="str"/>
    </row>
    <row r="11" ht="42" customHeight="1">
      <c r="A11" s="146" t="inlineStr">
        <is>
          <t>ACT-006</t>
        </is>
      </c>
      <c r="B11" s="147" t="inlineStr">
        <is>
          <t>SL-SAMPLE-009</t>
        </is>
      </c>
      <c r="C11" s="130" t="inlineStr">
        <is>
          <t>동의와 후속 반응 사이</t>
        </is>
      </c>
      <c r="D11" s="130" t="inlineStr">
        <is>
          <t>클릭 미확인</t>
        </is>
      </c>
      <c r="E11" s="130" t="inlineStr">
        <is>
          <t>최대 2회 범위에서 다음 안내 판단</t>
        </is>
      </c>
      <c r="F11" s="130" t="inlineStr">
        <is>
          <t>Lifecycle CRM</t>
        </is>
      </c>
      <c r="G11" s="147" t="inlineStr">
        <is>
          <t>D+3</t>
        </is>
      </c>
      <c r="H11" s="147" t="inlineStr">
        <is>
          <t>진행 중</t>
        </is>
      </c>
      <c r="I11" s="148" t="inlineStr">
        <is>
          <t>1차 발송 기록</t>
        </is>
      </c>
    </row>
    <row r="12" ht="42" customHeight="1">
      <c r="A12" s="146" t="inlineStr">
        <is>
          <t>ACT-007</t>
        </is>
      </c>
      <c r="B12" s="147" t="inlineStr">
        <is>
          <t>SL-SAMPLE-011</t>
        </is>
      </c>
      <c r="C12" s="130" t="inlineStr">
        <is>
          <t>후속 반응과 상담 사이</t>
        </is>
      </c>
      <c r="D12" s="130" t="inlineStr">
        <is>
          <t>상담 시간 미확정</t>
        </is>
      </c>
      <c r="E12" s="130" t="inlineStr">
        <is>
          <t>선호 시간 확인 후 화상 상담 예약</t>
        </is>
      </c>
      <c r="F12" s="130" t="inlineStr">
        <is>
          <t>Client Care</t>
        </is>
      </c>
      <c r="G12" s="147" t="inlineStr">
        <is>
          <t>D+2</t>
        </is>
      </c>
      <c r="H12" s="147" t="inlineStr">
        <is>
          <t>미처리</t>
        </is>
      </c>
      <c r="I12" s="148" t="str"/>
    </row>
    <row r="13" ht="42" customHeight="1">
      <c r="A13" s="149" t="inlineStr">
        <is>
          <t>ACT-008</t>
        </is>
      </c>
      <c r="B13" s="150" t="inlineStr">
        <is>
          <t>SL-SAMPLE-012</t>
        </is>
      </c>
      <c r="C13" s="136" t="inlineStr">
        <is>
          <t>참석과 체험 사이</t>
        </is>
      </c>
      <c r="D13" s="136" t="inlineStr">
        <is>
          <t>체험 중단</t>
        </is>
      </c>
      <c r="E13" s="136" t="inlineStr">
        <is>
          <t>대체 샘플 발송 후 수령 여부 확인</t>
        </is>
      </c>
      <c r="F13" s="136" t="inlineStr">
        <is>
          <t>Experience Lead</t>
        </is>
      </c>
      <c r="G13" s="150" t="inlineStr">
        <is>
          <t>D+2</t>
        </is>
      </c>
      <c r="H13" s="150" t="inlineStr">
        <is>
          <t>완료</t>
        </is>
      </c>
      <c r="I13" s="151" t="inlineStr">
        <is>
          <t>샘플 인계 기록</t>
        </is>
      </c>
    </row>
  </sheetData>
  <mergeCells count="3">
    <mergeCell ref="A1:I1"/>
    <mergeCell ref="A2:I2"/>
    <mergeCell ref="A3:I3"/>
  </mergeCells>
  <conditionalFormatting sqref="H6:H13">
    <cfRule type="expression" priority="1" dxfId="6">
      <formula>AND($H6="완료",$I6&lt;&gt;"")</formula>
    </cfRule>
    <cfRule type="expression" priority="2" dxfId="7">
      <formula>OR($H6="지연",AND($H6="완료",$I6=""))</formula>
    </cfRule>
    <cfRule type="expression" priority="3" dxfId="8">
      <formula>OR($H6="미처리",$H6="진행 중")</formula>
    </cfRule>
  </conditionalFormatting>
  <dataValidations count="1">
    <dataValidation sqref="H6:H13" showDropDown="0" showInputMessage="0" showErrorMessage="0" allowBlank="0" type="list">
      <formula1>"미처리,진행 중,완료,지연"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2026-10-19T05:03:04Z</dcterms:created>
  <dcterms:modified xsi:type="dcterms:W3CDTF">2026-10-20T02:34:59Z</dcterms:modified>
</cp:coreProperties>
</file>